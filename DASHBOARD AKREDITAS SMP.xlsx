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ESISWAAN\T.P 2025-2026\TEAM AKRIEDITAS 2026\"/>
    </mc:Choice>
  </mc:AlternateContent>
  <xr:revisionPtr revIDLastSave="0" documentId="13_ncr:1_{D147CCD5-324D-490C-BB96-715D49DAD094}" xr6:coauthVersionLast="47" xr6:coauthVersionMax="47" xr10:uidLastSave="{00000000-0000-0000-0000-000000000000}"/>
  <bookViews>
    <workbookView xWindow="-110" yWindow="-110" windowWidth="19420" windowHeight="10300" tabRatio="902" activeTab="5" xr2:uid="{00000000-000D-0000-FFFF-FFFF00000000}"/>
  </bookViews>
  <sheets>
    <sheet name="DASHBOARD" sheetId="1" r:id="rId1"/>
    <sheet name="MASTER PLAN" sheetId="2" r:id="rId2"/>
    <sheet name="TIMELINE WEEK" sheetId="3" r:id="rId3"/>
    <sheet name="JURNAL KOORD" sheetId="10" r:id="rId4"/>
    <sheet name="JURNAL KOMP" sheetId="9" r:id="rId5"/>
    <sheet name="CHECKLIST DOK" sheetId="7" r:id="rId6"/>
    <sheet name="Chart" sheetId="4" r:id="rId7"/>
    <sheet name="Panduan" sheetId="5" r:id="rId8"/>
    <sheet name="PIC Mapping" sheetId="6" r:id="rId9"/>
  </sheets>
  <calcPr calcId="191029"/>
</workbook>
</file>

<file path=xl/calcChain.xml><?xml version="1.0" encoding="utf-8"?>
<calcChain xmlns="http://schemas.openxmlformats.org/spreadsheetml/2006/main">
  <c r="H37" i="1" l="1"/>
  <c r="H38" i="1"/>
  <c r="H39" i="1"/>
  <c r="H40" i="1"/>
  <c r="H41" i="1"/>
  <c r="H36" i="1"/>
  <c r="K37" i="1"/>
  <c r="K38" i="1"/>
  <c r="K39" i="1"/>
  <c r="K40" i="1"/>
  <c r="K41" i="1"/>
  <c r="K42" i="1"/>
  <c r="K36" i="1"/>
  <c r="N37" i="1"/>
  <c r="N38" i="1"/>
  <c r="N39" i="1"/>
  <c r="N40" i="1"/>
  <c r="N41" i="1"/>
  <c r="N36" i="1"/>
  <c r="M37" i="1"/>
  <c r="M38" i="1"/>
  <c r="M39" i="1"/>
  <c r="M40" i="1"/>
  <c r="M41" i="1"/>
  <c r="M36" i="1"/>
  <c r="J37" i="1"/>
  <c r="J38" i="1"/>
  <c r="J39" i="1"/>
  <c r="J40" i="1"/>
  <c r="J41" i="1"/>
  <c r="J42" i="1"/>
  <c r="J36" i="1"/>
  <c r="G37" i="1"/>
  <c r="G38" i="1"/>
  <c r="G39" i="1"/>
  <c r="G40" i="1"/>
  <c r="G41" i="1"/>
  <c r="G36" i="1"/>
  <c r="E36" i="1"/>
  <c r="D36" i="1"/>
  <c r="D29" i="1"/>
  <c r="D30" i="1"/>
  <c r="D31" i="1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C12" i="4"/>
  <c r="C11" i="4"/>
  <c r="C10" i="4"/>
  <c r="C9" i="4"/>
  <c r="C8" i="4"/>
  <c r="C7" i="4"/>
  <c r="E41" i="1"/>
  <c r="D41" i="1"/>
  <c r="E40" i="1"/>
  <c r="D40" i="1"/>
  <c r="E39" i="1"/>
  <c r="D39" i="1"/>
  <c r="E38" i="1"/>
  <c r="D38" i="1"/>
  <c r="E37" i="1"/>
  <c r="D37" i="1"/>
  <c r="H31" i="1"/>
  <c r="G31" i="1"/>
  <c r="H30" i="1"/>
  <c r="G30" i="1"/>
  <c r="H29" i="1"/>
  <c r="G29" i="1"/>
  <c r="H28" i="1"/>
  <c r="G28" i="1"/>
  <c r="D28" i="1"/>
  <c r="G24" i="1"/>
  <c r="E24" i="1"/>
  <c r="C24" i="1"/>
  <c r="I21" i="1"/>
  <c r="G21" i="1"/>
  <c r="E21" i="1"/>
  <c r="C21" i="1"/>
  <c r="I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Disarikan dari PDF bukti dukung IA BAN PDM yang diunggah pengguna.</t>
        </r>
      </text>
    </comment>
  </commentList>
</comments>
</file>

<file path=xl/sharedStrings.xml><?xml version="1.0" encoding="utf-8"?>
<sst xmlns="http://schemas.openxmlformats.org/spreadsheetml/2006/main" count="1293" uniqueCount="610">
  <si>
    <t>Total Kegiatan</t>
  </si>
  <si>
    <t>Kegiatan Selesai</t>
  </si>
  <si>
    <t>Sedang Berjalan</t>
  </si>
  <si>
    <t>Terlambat</t>
  </si>
  <si>
    <t>Total Dokumen</t>
  </si>
  <si>
    <t>Dokumen Lengkap</t>
  </si>
  <si>
    <t>Perlu Revisi</t>
  </si>
  <si>
    <t>Progress Dokumen</t>
  </si>
  <si>
    <t>Ringkasan Status Kegiatan</t>
  </si>
  <si>
    <t>Ringkasan Dokumen per Komponen</t>
  </si>
  <si>
    <t>Status</t>
  </si>
  <si>
    <t>Jumlah</t>
  </si>
  <si>
    <t>Komponen</t>
  </si>
  <si>
    <t>Total</t>
  </si>
  <si>
    <t>Lengkap</t>
  </si>
  <si>
    <t>Belum Mulai</t>
  </si>
  <si>
    <t>Komponen 1 - Kinerja Pendidik</t>
  </si>
  <si>
    <t>Berjalan</t>
  </si>
  <si>
    <t>Komponen 2 - Kepemimpinan Kepala Sekolah</t>
  </si>
  <si>
    <t>Selesai</t>
  </si>
  <si>
    <t>Komponen 3 - Iklim Lingkungan Belajar</t>
  </si>
  <si>
    <t>Komponen 4 - Kompetensi Hasil Pembelajaran</t>
  </si>
  <si>
    <t>PIC</t>
  </si>
  <si>
    <t>Jumlah Dokumen</t>
  </si>
  <si>
    <t>MASTER PLAN &amp; MONITORING PERSIAPAN AKREDITASI SMP (MEI–NOVEMBER 2026)</t>
  </si>
  <si>
    <t>Kolom kuning diisi saat monitoring; Progress (%) diisi dalam format persen. Contoh: 25% atau 0.25.</t>
  </si>
  <si>
    <t>No</t>
  </si>
  <si>
    <t>Fokus Area</t>
  </si>
  <si>
    <t>Kegiatan</t>
  </si>
  <si>
    <t>Mulai (Periode)</t>
  </si>
  <si>
    <t>Selesai (Periode)</t>
  </si>
  <si>
    <t>Tanggal Mulai</t>
  </si>
  <si>
    <t>Tanggal Selesai</t>
  </si>
  <si>
    <t>Output/Target</t>
  </si>
  <si>
    <t>Indikator Monitoring</t>
  </si>
  <si>
    <t>Progress (%)</t>
  </si>
  <si>
    <t>Kendala</t>
  </si>
  <si>
    <t>Tindak Lanjut</t>
  </si>
  <si>
    <t>Bukti/Dokumen</t>
  </si>
  <si>
    <t>Prioritas</t>
  </si>
  <si>
    <t>Manajemen</t>
  </si>
  <si>
    <t>Pembentukan SK Tim Akreditasi</t>
  </si>
  <si>
    <t>Mei M1</t>
  </si>
  <si>
    <t>SK Tim Akreditasi terbit</t>
  </si>
  <si>
    <t>SK ditandatangani dan dibagikan</t>
  </si>
  <si>
    <t>Tinggi</t>
  </si>
  <si>
    <t>Rapat koordinasi awal dan sosialisasi instrumen</t>
  </si>
  <si>
    <t>Mei M2</t>
  </si>
  <si>
    <t>Notulen rapat dan daftar hadir</t>
  </si>
  <si>
    <t>Seluruh tim memahami alur kerja</t>
  </si>
  <si>
    <t>Pembagian tugas per komponen dan butir</t>
  </si>
  <si>
    <t>SK/Pembagian tugas rinci</t>
  </si>
  <si>
    <t>PIC per komponen terpetakan</t>
  </si>
  <si>
    <t>Pemetaan gap mutu dan kebutuhan bukti fisik</t>
  </si>
  <si>
    <t>Mei M3</t>
  </si>
  <si>
    <t>Peta gap dan daftar kebutuhan</t>
  </si>
  <si>
    <t>Ada prioritas perbaikan yang jelas</t>
  </si>
  <si>
    <t>Pembuatan folder digital dan standar penamaan dokumen</t>
  </si>
  <si>
    <t>Folder cloud/drive tertata</t>
  </si>
  <si>
    <t>Setiap dokumen punya kode/nama seragam</t>
  </si>
  <si>
    <t>Sedang</t>
  </si>
  <si>
    <t>Dokumen</t>
  </si>
  <si>
    <t>Penyusunan ceklis dokumen akreditasi</t>
  </si>
  <si>
    <t>Mei M4</t>
  </si>
  <si>
    <t>Mei M5</t>
  </si>
  <si>
    <t>Ceklis dokumen per komponen</t>
  </si>
  <si>
    <t>Ceklis siap dipakai monitoring</t>
  </si>
  <si>
    <t>Inventarisasi dokumen kurikulum dan pembelajaran</t>
  </si>
  <si>
    <t>Juni M1</t>
  </si>
  <si>
    <t>Juni M2</t>
  </si>
  <si>
    <t>Dokumen kurikulum terhimpun</t>
  </si>
  <si>
    <t>Kurikulum, CP, ATP, modul ajar tersedia</t>
  </si>
  <si>
    <t>Inventarisasi dokumen PTK, siswa, sarpras, dan keuangan</t>
  </si>
  <si>
    <t>Arsip data utama terhimpun</t>
  </si>
  <si>
    <t>Data pokok sekolah lengkap</t>
  </si>
  <si>
    <t>Verifikasi legalitas dokumen, izin, dan SK</t>
  </si>
  <si>
    <t>Juni M3</t>
  </si>
  <si>
    <t>Berkas legalitas valid</t>
  </si>
  <si>
    <t>Tidak ada dokumen legal yang kedaluwarsa</t>
  </si>
  <si>
    <t>Digitalisasi dokumen utama dan backup</t>
  </si>
  <si>
    <t>Juni M4</t>
  </si>
  <si>
    <t>Scan dokumen dan backup</t>
  </si>
  <si>
    <t>Softcopy dapat diakses cepat</t>
  </si>
  <si>
    <t>Pengumpulan bukti prestasi, kemitraan, dan publikasi</t>
  </si>
  <si>
    <t>Juni M5</t>
  </si>
  <si>
    <t>Portofolio prestasi dan kerja sama</t>
  </si>
  <si>
    <t>Bukti dukung eksternal lengkap</t>
  </si>
  <si>
    <t>Pembaruan modul ajar dan perangkat asesmen</t>
  </si>
  <si>
    <t>Juli M1</t>
  </si>
  <si>
    <t>Juli M2</t>
  </si>
  <si>
    <t>Perangkat ajar semester berjalan</t>
  </si>
  <si>
    <t>Perangkat ajar siap pakai</t>
  </si>
  <si>
    <t>Pembaruan kalender pendidikan, prota, promes, jurnal</t>
  </si>
  <si>
    <t>Administrasi akademik lengkap</t>
  </si>
  <si>
    <t>Dokumen administrasi kelas sinkron</t>
  </si>
  <si>
    <t>Penyempurnaan RKJM, RKS, dan RKAS</t>
  </si>
  <si>
    <t>Juli M3</t>
  </si>
  <si>
    <t>Dokumen perencanaan mutakhir</t>
  </si>
  <si>
    <t>Rencana dan anggaran sinkron</t>
  </si>
  <si>
    <t>SPMI</t>
  </si>
  <si>
    <t>Penyusunan dokumen SPMI, EDM, dan RTL</t>
  </si>
  <si>
    <t>Juli M4</t>
  </si>
  <si>
    <t>Dokumen mutu dan tindak lanjut</t>
  </si>
  <si>
    <t>Siklus mutu terdokumentasi</t>
  </si>
  <si>
    <t>Penataan administrasi kelas, BK, UKS, perpustakaan, dan lab</t>
  </si>
  <si>
    <t>Juli M5</t>
  </si>
  <si>
    <t>Administrasi unit lengkap</t>
  </si>
  <si>
    <t>Semua unit siap diperiksa</t>
  </si>
  <si>
    <t>Implementasi</t>
  </si>
  <si>
    <t>Implementasi program literasi dan numerasi</t>
  </si>
  <si>
    <t>Agustus M1</t>
  </si>
  <si>
    <t>Agustus M4</t>
  </si>
  <si>
    <t>Kegiatan literasi/numerasi berjalan</t>
  </si>
  <si>
    <t>Ada jadwal, dokumentasi, dan hasil karya</t>
  </si>
  <si>
    <t>Penguatan pembiasaan karakter, religius, dan disiplin positif</t>
  </si>
  <si>
    <t>Agustus M5</t>
  </si>
  <si>
    <t>Budaya sekolah tampak nyata</t>
  </si>
  <si>
    <t>Pembiasaan rutin terdokumentasi</t>
  </si>
  <si>
    <t>Supervisi pembelajaran dan dokumentasi kelas</t>
  </si>
  <si>
    <t>Agustus M2</t>
  </si>
  <si>
    <t>Hasil supervisi dan tindak lanjut</t>
  </si>
  <si>
    <t>Ada observasi kelas dan umpan balik</t>
  </si>
  <si>
    <t>Pembenahan sarpras prioritas dan display mutu sekolah</t>
  </si>
  <si>
    <t>Agustus M3</t>
  </si>
  <si>
    <t>Lingkungan sekolah siap visitasi</t>
  </si>
  <si>
    <t>Sarana dasar dan display data tertata</t>
  </si>
  <si>
    <t>Simulasi</t>
  </si>
  <si>
    <t>Audit internal bukti fisik dan digital per komponen</t>
  </si>
  <si>
    <t>September M1</t>
  </si>
  <si>
    <t>September M2</t>
  </si>
  <si>
    <t>Daftar temuan audit internal</t>
  </si>
  <si>
    <t>Ada status lengkap/kurang tiap dokumen</t>
  </si>
  <si>
    <t>Simulasi wawancara guru, siswa, komite, dan TU</t>
  </si>
  <si>
    <t>September M3</t>
  </si>
  <si>
    <t>Daftar pertanyaan dan hasil latihan</t>
  </si>
  <si>
    <t>Responden siap menjawab konsisten</t>
  </si>
  <si>
    <t>Simulasi observasi kelas dan alur visitasi</t>
  </si>
  <si>
    <t>September M4</t>
  </si>
  <si>
    <t>Skenario visitasi siap</t>
  </si>
  <si>
    <t>Alur pendampingan berjalan lancar</t>
  </si>
  <si>
    <t>Tindak lanjut hasil audit dan simulasi</t>
  </si>
  <si>
    <t>Oktober M1</t>
  </si>
  <si>
    <t>Temuan kritis ditutup</t>
  </si>
  <si>
    <t>Bukti kurang sudah dilengkapi</t>
  </si>
  <si>
    <t>Final checking bukti fisik dan tautan dokumen digital</t>
  </si>
  <si>
    <t>Oktober M2</t>
  </si>
  <si>
    <t>Folder final dan checklist final</t>
  </si>
  <si>
    <t>Semua link dan map dokumen siap</t>
  </si>
  <si>
    <t>Penyusunan paparan kepala sekolah dan profil satuan</t>
  </si>
  <si>
    <t>Oktober M3</t>
  </si>
  <si>
    <t>Paparan profil sekolah</t>
  </si>
  <si>
    <t>Bahan presentasi siap dan ringkas</t>
  </si>
  <si>
    <t>Briefing seluruh warga sekolah</t>
  </si>
  <si>
    <t>Oktober M4</t>
  </si>
  <si>
    <t>Jadwal briefing dan daftar hadir</t>
  </si>
  <si>
    <t>Semua pihak paham peran masing-masing</t>
  </si>
  <si>
    <t>Gladi bersih visitasi dan penataan ruang</t>
  </si>
  <si>
    <t>November M1</t>
  </si>
  <si>
    <t>Ruang visitasi siap</t>
  </si>
  <si>
    <t>Layout ruang dan dokumen final</t>
  </si>
  <si>
    <t>Monitoring progres akhir dan konsistensi data</t>
  </si>
  <si>
    <t>November M2</t>
  </si>
  <si>
    <t>Rekap progres akhir</t>
  </si>
  <si>
    <t>Tidak ada data yang bertentangan</t>
  </si>
  <si>
    <t>Visitasi</t>
  </si>
  <si>
    <t>Pendampingan visitasi asesor</t>
  </si>
  <si>
    <t>November M3</t>
  </si>
  <si>
    <t>Visitasi berjalan tertib</t>
  </si>
  <si>
    <t>Semua bukti dapat ditunjukkan cepat</t>
  </si>
  <si>
    <t>Tindak lanjut pascavisitasi dan arsip akhir</t>
  </si>
  <si>
    <t>November M4</t>
  </si>
  <si>
    <t>November M5</t>
  </si>
  <si>
    <t>Berita acara dan arsip final</t>
  </si>
  <si>
    <t>Dokumen akhir tersimpan rapi</t>
  </si>
  <si>
    <t>Isi Status Mingguan, Progress, Kendala, dan Tindak Lanjut saat rapat monitoring mingguan.</t>
  </si>
  <si>
    <t>Bulan</t>
  </si>
  <si>
    <t>Minggu</t>
  </si>
  <si>
    <t>Periode</t>
  </si>
  <si>
    <t>Fokus Mingguan</t>
  </si>
  <si>
    <t>Target Output Mingguan</t>
  </si>
  <si>
    <t>PIC Utama</t>
  </si>
  <si>
    <t>Status Mingguan</t>
  </si>
  <si>
    <t>Mei</t>
  </si>
  <si>
    <t>Minggu 1</t>
  </si>
  <si>
    <t>01-07 Mei 2026</t>
  </si>
  <si>
    <t>• Pembentukan SK Tim Akreditasi
• Rapat koordinasi awal dan sosialisasi instrumen</t>
  </si>
  <si>
    <t>• SK Tim Akreditasi terbit
• Notulen rapat dan daftar hadir</t>
  </si>
  <si>
    <t>Minggu 2</t>
  </si>
  <si>
    <t>08-14 Mei 2026</t>
  </si>
  <si>
    <t>• Rapat koordinasi awal dan sosialisasi instrumen
• Pembagian tugas per komponen dan butir
• Pemetaan gap mutu dan kebutuhan bukti fisik</t>
  </si>
  <si>
    <t>• Notulen rapat dan daftar hadir
• SK/Pembagian tugas rinci
• Peta gap dan daftar kebutuhan</t>
  </si>
  <si>
    <t>Minggu 3</t>
  </si>
  <si>
    <t>15-21 Mei 2026</t>
  </si>
  <si>
    <t>• Pemetaan gap mutu dan kebutuhan bukti fisik
• Pembuatan folder digital dan standar penamaan dokumen</t>
  </si>
  <si>
    <t>• Peta gap dan daftar kebutuhan
• Folder cloud/drive tertata</t>
  </si>
  <si>
    <t>Minggu 4</t>
  </si>
  <si>
    <t>22-28 Mei 2026</t>
  </si>
  <si>
    <t>• Penyusunan ceklis dokumen akreditasi</t>
  </si>
  <si>
    <t>• Ceklis dokumen per komponen</t>
  </si>
  <si>
    <t>Minggu 5</t>
  </si>
  <si>
    <t>29-31 Mei 2026</t>
  </si>
  <si>
    <t>Juni</t>
  </si>
  <si>
    <t>01-07 Juni 2026</t>
  </si>
  <si>
    <t>• Inventarisasi dokumen kurikulum dan pembelajaran
• Inventarisasi dokumen PTK, siswa, sarpras, dan keuangan</t>
  </si>
  <si>
    <t>• Dokumen kurikulum terhimpun
• Arsip data utama terhimpun</t>
  </si>
  <si>
    <t>08-14 Juni 2026</t>
  </si>
  <si>
    <t>15-21 Juni 2026</t>
  </si>
  <si>
    <t>• Verifikasi legalitas dokumen, izin, dan SK
• Digitalisasi dokumen utama dan backup</t>
  </si>
  <si>
    <t>• Berkas legalitas valid
• Scan dokumen dan backup</t>
  </si>
  <si>
    <t>22-28 Juni 2026</t>
  </si>
  <si>
    <t>• Digitalisasi dokumen utama dan backup
• Pengumpulan bukti prestasi, kemitraan, dan publikasi</t>
  </si>
  <si>
    <t>• Scan dokumen dan backup
• Portofolio prestasi dan kerja sama</t>
  </si>
  <si>
    <t>29-30 Juni 2026</t>
  </si>
  <si>
    <t>• Pengumpulan bukti prestasi, kemitraan, dan publikasi</t>
  </si>
  <si>
    <t>• Portofolio prestasi dan kerja sama</t>
  </si>
  <si>
    <t>Juli</t>
  </si>
  <si>
    <t>01-07 Juli 2026</t>
  </si>
  <si>
    <t>• Pembaruan modul ajar dan perangkat asesmen
• Pembaruan kalender pendidikan, prota, promes, jurnal</t>
  </si>
  <si>
    <t>• Perangkat ajar semester berjalan
• Administrasi akademik lengkap</t>
  </si>
  <si>
    <t>08-14 Juli 2026</t>
  </si>
  <si>
    <t>• Pembaruan modul ajar dan perangkat asesmen
• Pembaruan kalender pendidikan, prota, promes, jurnal
• Penyempurnaan RKJM, RKS, dan RKAS</t>
  </si>
  <si>
    <t>• Perangkat ajar semester berjalan
• Administrasi akademik lengkap
• Dokumen perencanaan mutakhir</t>
  </si>
  <si>
    <t>15-21 Juli 2026</t>
  </si>
  <si>
    <t>• Penyempurnaan RKJM, RKS, dan RKAS
• Penyusunan dokumen SPMI, EDM, dan RTL</t>
  </si>
  <si>
    <t>• Dokumen perencanaan mutakhir
• Dokumen mutu dan tindak lanjut</t>
  </si>
  <si>
    <t>22-28 Juli 2026</t>
  </si>
  <si>
    <t>• Penyusunan dokumen SPMI, EDM, dan RTL
• Penataan administrasi kelas, BK, UKS, perpustakaan, dan lab</t>
  </si>
  <si>
    <t>• Dokumen mutu dan tindak lanjut
• Administrasi unit lengkap</t>
  </si>
  <si>
    <t>29-31 Juli 2026</t>
  </si>
  <si>
    <t>• Penataan administrasi kelas, BK, UKS, perpustakaan, dan lab</t>
  </si>
  <si>
    <t>• Administrasi unit lengkap</t>
  </si>
  <si>
    <t>Agustus</t>
  </si>
  <si>
    <t>01-07 Agustus 2026</t>
  </si>
  <si>
    <t>• Implementasi program literasi dan numerasi
• Penguatan pembiasaan karakter, religius, dan disiplin positif</t>
  </si>
  <si>
    <t>• Kegiatan literasi/numerasi berjalan
• Budaya sekolah tampak nyata</t>
  </si>
  <si>
    <t>08-14 Agustus 2026</t>
  </si>
  <si>
    <t>• Implementasi program literasi dan numerasi
• Penguatan pembiasaan karakter, religius, dan disiplin positif
• Supervisi pembelajaran dan dokumentasi kelas</t>
  </si>
  <si>
    <t>• Kegiatan literasi/numerasi berjalan
• Budaya sekolah tampak nyata
• Hasil supervisi dan tindak lanjut</t>
  </si>
  <si>
    <t>15-21 Agustus 2026</t>
  </si>
  <si>
    <t>• Implementasi program literasi dan numerasi
• Penguatan pembiasaan karakter, religius, dan disiplin positif
• Supervisi pembelajaran dan dokumentasi kelas
• Pembenahan sarpras prioritas dan display mutu sekolah</t>
  </si>
  <si>
    <t>• Kegiatan literasi/numerasi berjalan
• Budaya sekolah tampak nyata
• Hasil supervisi dan tindak lanjut
• +1 target lainnya</t>
  </si>
  <si>
    <t>22-28 Agustus 2026</t>
  </si>
  <si>
    <t>29-31 Agustus 2026</t>
  </si>
  <si>
    <t>• Penguatan pembiasaan karakter, religius, dan disiplin positif
• Pembenahan sarpras prioritas dan display mutu sekolah</t>
  </si>
  <si>
    <t>• Budaya sekolah tampak nyata
• Lingkungan sekolah siap visitasi</t>
  </si>
  <si>
    <t>September</t>
  </si>
  <si>
    <t>01-07 September 2026</t>
  </si>
  <si>
    <t>• Audit internal bukti fisik dan digital per komponen</t>
  </si>
  <si>
    <t>• Daftar temuan audit internal</t>
  </si>
  <si>
    <t>08-14 September 2026</t>
  </si>
  <si>
    <t>• Audit internal bukti fisik dan digital per komponen
• Simulasi wawancara guru, siswa, komite, dan TU</t>
  </si>
  <si>
    <t>• Daftar temuan audit internal
• Daftar pertanyaan dan hasil latihan</t>
  </si>
  <si>
    <t>15-21 September 2026</t>
  </si>
  <si>
    <t>• Simulasi wawancara guru, siswa, komite, dan TU
• Simulasi observasi kelas dan alur visitasi</t>
  </si>
  <si>
    <t>• Daftar pertanyaan dan hasil latihan
• Skenario visitasi siap</t>
  </si>
  <si>
    <t>22-28 September 2026</t>
  </si>
  <si>
    <t>• Simulasi observasi kelas dan alur visitasi
• Tindak lanjut hasil audit dan simulasi</t>
  </si>
  <si>
    <t>• Skenario visitasi siap
• Temuan kritis ditutup</t>
  </si>
  <si>
    <t>29-30 September 2026</t>
  </si>
  <si>
    <t>• Tindak lanjut hasil audit dan simulasi</t>
  </si>
  <si>
    <t>• Temuan kritis ditutup</t>
  </si>
  <si>
    <t>Oktober</t>
  </si>
  <si>
    <t>01-07 Oktober 2026</t>
  </si>
  <si>
    <t>• Tindak lanjut hasil audit dan simulasi
• Final checking bukti fisik dan tautan dokumen digital</t>
  </si>
  <si>
    <t>• Temuan kritis ditutup
• Folder final dan checklist final</t>
  </si>
  <si>
    <t>08-14 Oktober 2026</t>
  </si>
  <si>
    <t>• Final checking bukti fisik dan tautan dokumen digital
• Penyusunan paparan kepala sekolah dan profil satuan</t>
  </si>
  <si>
    <t>• Folder final dan checklist final
• Paparan profil sekolah</t>
  </si>
  <si>
    <t>15-21 Oktober 2026</t>
  </si>
  <si>
    <t>• Penyusunan paparan kepala sekolah dan profil satuan
• Briefing seluruh warga sekolah</t>
  </si>
  <si>
    <t>• Paparan profil sekolah
• Jadwal briefing dan daftar hadir</t>
  </si>
  <si>
    <t>22-28 Oktober 2026</t>
  </si>
  <si>
    <t>• Briefing seluruh warga sekolah
• Gladi bersih visitasi dan penataan ruang</t>
  </si>
  <si>
    <t>• Jadwal briefing dan daftar hadir
• Ruang visitasi siap</t>
  </si>
  <si>
    <t>29-31 Oktober 2026</t>
  </si>
  <si>
    <t>• Gladi bersih visitasi dan penataan ruang</t>
  </si>
  <si>
    <t>• Ruang visitasi siap</t>
  </si>
  <si>
    <t>November</t>
  </si>
  <si>
    <t>01-07 November 2026</t>
  </si>
  <si>
    <t>• Gladi bersih visitasi dan penataan ruang
• Monitoring progres akhir dan konsistensi data</t>
  </si>
  <si>
    <t>• Ruang visitasi siap
• Rekap progres akhir</t>
  </si>
  <si>
    <t>08-14 November 2026</t>
  </si>
  <si>
    <t>• Monitoring progres akhir dan konsistensi data
• Pendampingan visitasi asesor</t>
  </si>
  <si>
    <t>• Rekap progres akhir
• Visitasi berjalan tertib</t>
  </si>
  <si>
    <t>15-21 November 2026</t>
  </si>
  <si>
    <t>• Pendampingan visitasi asesor</t>
  </si>
  <si>
    <t>• Visitasi berjalan tertib</t>
  </si>
  <si>
    <t>22-28 November 2026</t>
  </si>
  <si>
    <t>• Tindak lanjut pascavisitasi dan arsip akhir</t>
  </si>
  <si>
    <t>• Berita acara dan arsip final</t>
  </si>
  <si>
    <t>29-30 November 2026</t>
  </si>
  <si>
    <t>GANTT CHART PERSIAPAN AKREDITASI SMP (MEI–NOVEMBER 2026)</t>
  </si>
  <si>
    <t>Legenda Warna</t>
  </si>
  <si>
    <t>Rata-rata Progress</t>
  </si>
  <si>
    <t>M1</t>
  </si>
  <si>
    <t>M2</t>
  </si>
  <si>
    <t>M3</t>
  </si>
  <si>
    <t>M4</t>
  </si>
  <si>
    <t>M5</t>
  </si>
  <si>
    <t>Kepala Sekolah</t>
  </si>
  <si>
    <t>Kepala Sekolah, Ketua Tim</t>
  </si>
  <si>
    <t>Ketua Tim</t>
  </si>
  <si>
    <t>Ketua Tim, Koordinator Standar</t>
  </si>
  <si>
    <t>Admin Dokumen</t>
  </si>
  <si>
    <t>Sekretaris Tim</t>
  </si>
  <si>
    <t>Waka Kurikulum</t>
  </si>
  <si>
    <t>TU, Bendahara, Waka Sarpras</t>
  </si>
  <si>
    <t>TU Sekolah</t>
  </si>
  <si>
    <t>Kesiswaan, Humas</t>
  </si>
  <si>
    <t>Waka Kurikulum, Guru Mapel</t>
  </si>
  <si>
    <t>Kepala Sekolah, Bendahara</t>
  </si>
  <si>
    <t>TPMPS</t>
  </si>
  <si>
    <t>Waka Kesiswaan, BK, Pustakawan, Laboran</t>
  </si>
  <si>
    <t>Tim Literasi, Guru Mapel</t>
  </si>
  <si>
    <t>Waka Kesiswaan, Guru Piket</t>
  </si>
  <si>
    <t>Kepala Sekolah, Pengawas Internal</t>
  </si>
  <si>
    <t>Waka Sarpras</t>
  </si>
  <si>
    <t>Ketua Tim, Sekretaris</t>
  </si>
  <si>
    <t>Ketua Tim, Kepala Sekolah</t>
  </si>
  <si>
    <t>Kepala Sekolah, Waka Kurikulum</t>
  </si>
  <si>
    <t>Seluruh Koordinator</t>
  </si>
  <si>
    <t>Sekretaris Tim, Admin Dokumen</t>
  </si>
  <si>
    <t>Kepala Sekolah, Humas</t>
  </si>
  <si>
    <t>Ketua Tim, Waka Sarpras</t>
  </si>
  <si>
    <t>PANDUAN PENGISIAN</t>
  </si>
  <si>
    <t>Kolom</t>
  </si>
  <si>
    <t>Fungsi</t>
  </si>
  <si>
    <t>Cara Isi</t>
  </si>
  <si>
    <t>Contoh</t>
  </si>
  <si>
    <t>Catatan</t>
  </si>
  <si>
    <t>Menunjukkan posisi kegiatan</t>
  </si>
  <si>
    <t>Pilih dari daftar: Belum Mulai / Berjalan / Selesai / Terlambat</t>
  </si>
  <si>
    <t>Gunakan konsisten</t>
  </si>
  <si>
    <t>Menunjukkan kemajuan</t>
  </si>
  <si>
    <t>Isi dalam format persen</t>
  </si>
  <si>
    <t>25%</t>
  </si>
  <si>
    <t>Bisa diketik 25% atau 0.25</t>
  </si>
  <si>
    <t>PIC kegiatan</t>
  </si>
  <si>
    <t>Hambatan utama</t>
  </si>
  <si>
    <t>Tulis singkat dan spesifik</t>
  </si>
  <si>
    <t>SK belum ditandatangani</t>
  </si>
  <si>
    <t>Update saat rapat mingguan</t>
  </si>
  <si>
    <t>Aksi perbaikan</t>
  </si>
  <si>
    <t>Isi langkah konkret</t>
  </si>
  <si>
    <t>Koordinasi ulang dengan TU</t>
  </si>
  <si>
    <t>Pastikan ada tenggat</t>
  </si>
  <si>
    <t>Tautan/arsip bukti</t>
  </si>
  <si>
    <t>Isi nama map/link/nomor arsip</t>
  </si>
  <si>
    <t>Map 1 / Link Drive</t>
  </si>
  <si>
    <t>Isi setelah bukti tersedia</t>
  </si>
  <si>
    <t>Tambahan Sheet Baru</t>
  </si>
  <si>
    <t>Checklist Dokumen</t>
  </si>
  <si>
    <t>Checklist bukti dukung per komponen</t>
  </si>
  <si>
    <t>Ubah Status Dokumen &amp; Kelengkapan</t>
  </si>
  <si>
    <t>Lengkap / 75%</t>
  </si>
  <si>
    <t>Gunakan untuk rapat bukti fisik</t>
  </si>
  <si>
    <t>PIC komponen</t>
  </si>
  <si>
    <t>Dashboard KS</t>
  </si>
  <si>
    <t>Dashboard ringkas kepala sekolah</t>
  </si>
  <si>
    <t>Tidak perlu diisi manual</t>
  </si>
  <si>
    <t>Formula otomatis</t>
  </si>
  <si>
    <t>Pantau progres kegiatan dan dokumen</t>
  </si>
  <si>
    <t>PIC Mapping</t>
  </si>
  <si>
    <t>Pembagian tugas PIC</t>
  </si>
  <si>
    <t>Sesuaikan bila ada perubahan personel</t>
  </si>
  <si>
    <t>Rini = Koordinator Komp.1</t>
  </si>
  <si>
    <t>Boleh ditukar sesuai keputusan tim</t>
  </si>
  <si>
    <t>PEMBAGIAN PIC TIM AKREDITASI SMP</t>
  </si>
  <si>
    <t>Usulan pembagian PIC per guru/staf untuk pemerataan beban kerja. Dapat disesuaikan oleh kepala sekolah/ketua tim.</t>
  </si>
  <si>
    <t>Nama PIC</t>
  </si>
  <si>
    <t>Peran Usulan</t>
  </si>
  <si>
    <t>Fokus Tugas Utama</t>
  </si>
  <si>
    <t>Koordinator Komp.1</t>
  </si>
  <si>
    <t>Kinerja pendidik</t>
  </si>
  <si>
    <t>PIC utama + backup silang</t>
  </si>
  <si>
    <t>Koordinator Komp.2</t>
  </si>
  <si>
    <t>Kepemimpinan kepala sekolah</t>
  </si>
  <si>
    <t>Koordinator Komp.3</t>
  </si>
  <si>
    <t>Iklim lingkungan belajar</t>
  </si>
  <si>
    <t>Koordinator Komp.4</t>
  </si>
  <si>
    <t>Kompetensi lulusan</t>
  </si>
  <si>
    <t>Scan/naming file</t>
  </si>
  <si>
    <t>Verifikator Bukti</t>
  </si>
  <si>
    <t>Cek bukti dukung</t>
  </si>
  <si>
    <t>Monitoring Timeline</t>
  </si>
  <si>
    <t>Update progres mingguan</t>
  </si>
  <si>
    <t>Dokumentasi</t>
  </si>
  <si>
    <t>Foto/video/link arsip</t>
  </si>
  <si>
    <t>Simulasi Wawancara</t>
  </si>
  <si>
    <t>Latihan visitasi</t>
  </si>
  <si>
    <t>Data &amp; Dashboard</t>
  </si>
  <si>
    <t>Rekap dashboard otomatis</t>
  </si>
  <si>
    <t>Sarpras &amp; Lingkungan</t>
  </si>
  <si>
    <t>Inventaris sarpras, UKS, P3K</t>
  </si>
  <si>
    <t>Kurikulum &amp; Pembelajaran</t>
  </si>
  <si>
    <t>KOSP/RPP/asesmen</t>
  </si>
  <si>
    <t>Kemitraan &amp; Humas</t>
  </si>
  <si>
    <t>Komite, orang tua, MoU</t>
  </si>
  <si>
    <t>SPMI &amp; Tindak Lanjut</t>
  </si>
  <si>
    <t>Rapor pendidikan, RKT/RKAS</t>
  </si>
  <si>
    <t>Sekretariat Arsip</t>
  </si>
  <si>
    <t>Notulen/BA/daftar hadir</t>
  </si>
  <si>
    <t>Checklist ini disarikan dari file bukti dukung indikator akreditasi yang Anda unggah.</t>
  </si>
  <si>
    <t>Butir</t>
  </si>
  <si>
    <t>Indikator Ringkas</t>
  </si>
  <si>
    <t>Checklist Dokumen/Bukti Dukung</t>
  </si>
  <si>
    <t>Status Dokumen</t>
  </si>
  <si>
    <t>Kelengkapan</t>
  </si>
  <si>
    <t>Tgl Update</t>
  </si>
  <si>
    <t>Catatan Monitoring</t>
  </si>
  <si>
    <t>Link/Lokasi Arsip</t>
  </si>
  <si>
    <t>Butir 1</t>
  </si>
  <si>
    <t>Interaksi setara &amp; saling menghargai</t>
  </si>
  <si>
    <t>RPP/KSP; dokumen pembelajaran kelas; catatan observasi; wawancara guru/siswa</t>
  </si>
  <si>
    <t>Belum Ada</t>
  </si>
  <si>
    <t>0%</t>
  </si>
  <si>
    <t>Perhatian bagi siswa yang butuh dukungan khusus</t>
  </si>
  <si>
    <t>KSP; RPP berdiferensiasi; jurnal guru; dokumen observasi; dokumen pembelajaran</t>
  </si>
  <si>
    <t>Pengembangan keterampilan sosial emosional</t>
  </si>
  <si>
    <t>KSP; RPP memuat PSE/teknik STOP; hasil karya siswa/rapor; jurnal guru</t>
  </si>
  <si>
    <t>Umpan balik konstruktif</t>
  </si>
  <si>
    <t>Rapor siswa; hasil kerja dengan umpan balik; asesmen formatif; dokumen pembelajaran</t>
  </si>
  <si>
    <t>Butir 2</t>
  </si>
  <si>
    <t>Kesepakatan kelas partisipatif</t>
  </si>
  <si>
    <t>Dokumen proses penyusunan; dokumen/pajangan kesepakatan kelas</t>
  </si>
  <si>
    <t>Pengelolaan tanpa tindakan agresif</t>
  </si>
  <si>
    <t>KSP/tata tertib/kode etik; RPP; dokumentasi foto/video pembelajaran</t>
  </si>
  <si>
    <t>Disiplin positif</t>
  </si>
  <si>
    <t>Program pembiasaan; dokumentasi pembiasaan; dokumen pembelajaran; poster</t>
  </si>
  <si>
    <t>Suasana belajar fokus aktivitas</t>
  </si>
  <si>
    <t>RPP fokus aktivitas belajar; dokumen proses pembelajaran</t>
  </si>
  <si>
    <t>Butir 3</t>
  </si>
  <si>
    <t>Tujuan pembelajaran selaras kurikulum</t>
  </si>
  <si>
    <t>RPP/modul ajar; dokumen pembelajaran sesuai kurikulum sekolah</t>
  </si>
  <si>
    <t>Asesmen beragam</t>
  </si>
  <si>
    <t>RPP asesmen awal-formatif-sumatif; 3 contoh asesmen; hasil karya siswa</t>
  </si>
  <si>
    <t>Hasil asesmen untuk kebutuhan belajar</t>
  </si>
  <si>
    <t>Daftar nilai/rapor; instrumen asesmen; dokumen hasil asesmen</t>
  </si>
  <si>
    <t>Asesmen sebagai dasar rancangan pembelajaran</t>
  </si>
  <si>
    <t>Dokumen asesmen awal/kesiapan belajar; RPP berdiferensiasi</t>
  </si>
  <si>
    <t>Kegiatan pembelajaran selaras tujuan</t>
  </si>
  <si>
    <t>RPP fokus tujuan &amp; kegiatan; dokumen proses pembelajaran</t>
  </si>
  <si>
    <t>Siswa terlibat menentukan tujuan/kegiatan/asesmen</t>
  </si>
  <si>
    <t>Dokumen diskusi guru-murid; RPP berbasis hasil diskusi</t>
  </si>
  <si>
    <t>Butir 4</t>
  </si>
  <si>
    <t>Penguatan iman dan takwa</t>
  </si>
  <si>
    <t>KSP; program pembiasaan karakter/keagamaan; dokumentasi kegiatan; bukti sarpras pendukung</t>
  </si>
  <si>
    <t>Cinta sejarah/budaya/alam/karya anak bangsa</t>
  </si>
  <si>
    <t>RPP; dokumentasi kunjungan/narasumber/proyek/festival; proses pembelajaran</t>
  </si>
  <si>
    <t>Rasa ingin tahu &amp; cinta ilmu</t>
  </si>
  <si>
    <t>RPP dengan pertanyaan pemantik; bukti hasil pembelajaran siswa aktif</t>
  </si>
  <si>
    <t>Bernalar &amp; memecahkan masalah</t>
  </si>
  <si>
    <t>RPP proyek/studi kasus; LKPD; dokumen pembelajaran guru sebagai fasilitator</t>
  </si>
  <si>
    <t>Refleksi keterhubungan belajar dengan kehidupan nyata</t>
  </si>
  <si>
    <t>RPP PBL/PjBL; dokumen proses pembelajaran; produk/hasil proyek siswa</t>
  </si>
  <si>
    <t>Butir 5</t>
  </si>
  <si>
    <t>Refleksi kinerja rutin</t>
  </si>
  <si>
    <t>Catatan pertemuan; jurnal guru</t>
  </si>
  <si>
    <t>Evaluasi kinerja berkala</t>
  </si>
  <si>
    <t>Evaluasi kinerja guru; program supervisi; jadwal supervisi</t>
  </si>
  <si>
    <t>Rencana pengembangan profesional berdasarkan evaluasi</t>
  </si>
  <si>
    <t>Laporan supervisi; dokumen supervisi; rencana pengembangan diri guru</t>
  </si>
  <si>
    <t>Program pengembangan profesional berdampak</t>
  </si>
  <si>
    <t>RKT; RKAS/RKAM; dokumen pengembangan diri</t>
  </si>
  <si>
    <t>Butir 6</t>
  </si>
  <si>
    <t>Visi dan misi jelas &amp; tersosialisasi</t>
  </si>
  <si>
    <t>SK visi misi; dokumen penyusunan; undangan/BA/daftar hadir/foto sosialisasi</t>
  </si>
  <si>
    <t>Komunikasi dan interaksi berkala</t>
  </si>
  <si>
    <t>Dokumen pertemuan guru/TU; pertemuan wali murid; aktivitas harian kepala sekolah</t>
  </si>
  <si>
    <t>Kolaborasi dengan orang tua/wali</t>
  </si>
  <si>
    <t>SK Komite; dokumentasi rapat komite; dokumentasi pertemuan wali murid</t>
  </si>
  <si>
    <t>Kemitraan dengan pihak lain</t>
  </si>
  <si>
    <t>MoU/bukti kemitraan; program kerja kepala sekolah; dokumen kegiatan kemitraan</t>
  </si>
  <si>
    <t>Evaluasi/refleksi berbasis data melibatkan stakeholder</t>
  </si>
  <si>
    <t>SK tim penjamin mutu; dokumen penyusunan RKT berbasis rapor pendidikan/EDM</t>
  </si>
  <si>
    <t>RKT berdasar evaluasi/refleksi</t>
  </si>
  <si>
    <t>Rapor pendidikan; notulen penyusunan RKT berbasis data; RKT/RKAM</t>
  </si>
  <si>
    <t>Butir 7</t>
  </si>
  <si>
    <t>Anggaran sesuai perencanaan</t>
  </si>
  <si>
    <t>RKT/RKAS; laporan RKT/RKAS; dokumen realisasi RKT</t>
  </si>
  <si>
    <t>Anggaran disusun bersama komite</t>
  </si>
  <si>
    <t>Dokumentasi rapat dengan komite; RKT/RKAM</t>
  </si>
  <si>
    <t>Sumber pendanaan &amp; alokasi jelas</t>
  </si>
  <si>
    <t>RKT; RKAS/RKAM</t>
  </si>
  <si>
    <t>Pelaporan anggaran berkala</t>
  </si>
  <si>
    <t>Laporan pelaksanaan RKT/RKAM; dokumentasi pelaporan</t>
  </si>
  <si>
    <t>Butir 8</t>
  </si>
  <si>
    <t>Perencanaan pengadaan sarpras berbasis kebutuhan</t>
  </si>
  <si>
    <t>Analisis sarpras berdasar kebutuhan pembelajaran</t>
  </si>
  <si>
    <t>Pemanfaatan sarpras optimal</t>
  </si>
  <si>
    <t>Program perpustakaan/laboratorium; daftar pengunjung; foto pemanfaatan sarpras</t>
  </si>
  <si>
    <t>Pemenuhan sarpras mandiri/bermitra</t>
  </si>
  <si>
    <t>Data inventaris sarpras; data kemitraan sarpras</t>
  </si>
  <si>
    <t>Pemeliharaan sarpras</t>
  </si>
  <si>
    <t>Rencana/jadwal/mekanisme pemeliharaan sarpras</t>
  </si>
  <si>
    <t>Butir 9</t>
  </si>
  <si>
    <t>Analisis karakteristik sekolah untuk kurikulum</t>
  </si>
  <si>
    <t>KSP karakteristik sekolah; analisis karakteristik dalam pengorganisasian/perencanaan</t>
  </si>
  <si>
    <t>Kurikulum sekolah relevan &amp; merujuk nasional</t>
  </si>
  <si>
    <t>KSP kebutuhan siswa; landasan hukum &amp; struktur kurikulum; data peserta didik</t>
  </si>
  <si>
    <t>Evaluasi berkala kurikulum sekolah</t>
  </si>
  <si>
    <t>Mekanisme review KSP; dokumen KSP tahun berjalan dan sebelumnya</t>
  </si>
  <si>
    <t>Butir 10</t>
  </si>
  <si>
    <t>Menghargai keberagaman peserta didik</t>
  </si>
  <si>
    <t>Dokumen kegiatan festival budaya/class meeting/persahabatan sekolah</t>
  </si>
  <si>
    <t>Mengenali keberagaman profil guru dan siswa</t>
  </si>
  <si>
    <t>Data demografi siswa dan guru</t>
  </si>
  <si>
    <t>Kesetaraan gender</t>
  </si>
  <si>
    <t>Kebijakan sekolah tentang kesetaraan gender/PPDB/OSIS/ketua kelas</t>
  </si>
  <si>
    <t>Butir 11</t>
  </si>
  <si>
    <t>Kebijakan/prosedur lingkungan belajar inklusif</t>
  </si>
  <si>
    <t>KOSP; RPP berdiferensiasi</t>
  </si>
  <si>
    <t>Program mengakomodasi kebutuhan belajar beragam</t>
  </si>
  <si>
    <t>Dokumen program khusus/IEP; fasilitas ramah disabilitas; dokumentasi pelaksanaan</t>
  </si>
  <si>
    <t>Pembelajaran bagi peserta didik beragam</t>
  </si>
  <si>
    <t>KOSP; RPP berdiferensiasi; bukti wawancara/observasi</t>
  </si>
  <si>
    <t>Butir 12</t>
  </si>
  <si>
    <t>Pencegahan &amp; penanganan perundungan/kekerasan</t>
  </si>
  <si>
    <t>SK/Tim TPPK; tata tertib/kode etik; dokumentasi program anti perundungan</t>
  </si>
  <si>
    <t>Pendidik memahami tata laksana penanganan</t>
  </si>
  <si>
    <t>Dokumen tata laksana penanganan; dokumentasi penanganan</t>
  </si>
  <si>
    <t>Pelibatan orang tua dalam penanganan</t>
  </si>
  <si>
    <t>Dokumen pertemuan orang tua/seminar; keterlibatan orang tua di TPPK</t>
  </si>
  <si>
    <t>Butir 13</t>
  </si>
  <si>
    <t>Bangunan sekolah aman</t>
  </si>
  <si>
    <t>Foto/video bangunan aman untuk KBM</t>
  </si>
  <si>
    <t>Prosedur keselamatan melalui pemeliharaan sarpras</t>
  </si>
  <si>
    <t>Jadwal pemeliharaan; anggaran pemeliharaan; dokumen pemeliharaan</t>
  </si>
  <si>
    <t>P3K</t>
  </si>
  <si>
    <t>Dokumen pelatihan P3K; perlengkapan/dokumentasi P3K</t>
  </si>
  <si>
    <t>Simulasi evakuasi bencana</t>
  </si>
  <si>
    <t>Dokumentasi simulasi; jadwal simulasi evakuasi</t>
  </si>
  <si>
    <t>Butir 14</t>
  </si>
  <si>
    <t>Program kebugaran</t>
  </si>
  <si>
    <t>Program kebugaran; dokumentasi senam/ekstra olahraga</t>
  </si>
  <si>
    <t>Layanan UKS/faskes</t>
  </si>
  <si>
    <t>Dokumen kerja sama faskes; dokumen layanan UKS; akses ke faskes</t>
  </si>
  <si>
    <t>Pilihan makanan sehat</t>
  </si>
  <si>
    <t>Dokumen pertemuan wali murid; poster makanan sehat; kebijakan kantin sehat</t>
  </si>
  <si>
    <t>Program kesehatan mental</t>
  </si>
  <si>
    <t>Dokumentasi program kesehatan mental; materi pembelajaran/bimbingan</t>
  </si>
  <si>
    <t>Kesempatan istirahat &amp; bergerak aktif</t>
  </si>
  <si>
    <t>Dokumen jadwal pelajaran; sarana istirahat dan bermain</t>
  </si>
  <si>
    <t>Edukasi kesehatan reproduksi &amp; pencegahan adiksi</t>
  </si>
  <si>
    <t>Dokumentasi edukasi kesehatan reproduksi; dokumentasi pencegahan adiksi</t>
  </si>
  <si>
    <t>Komponen 4</t>
  </si>
  <si>
    <t>Hasil analisis asesmen nasional &amp; capaian lulusan</t>
  </si>
  <si>
    <t>Rapor pendidikan/hasil AN; analisis hasil belajar sekolah; portofolio/prestasi siswa; rekap tindak lanjut mutu lulusan</t>
  </si>
  <si>
    <t xml:space="preserve">DASHBOARD PROGRESS AKREDITASI SMP AL-WILDAN ISLAMIC SCHOOL 1 GADING SERPONG </t>
  </si>
  <si>
    <t xml:space="preserve">RAKAPITULASI TIMELINE, KELENGKAPAN DOKUMENT DAN BEBAN PIC </t>
  </si>
  <si>
    <t xml:space="preserve">GADING SERPONG </t>
  </si>
  <si>
    <t>Tanggal</t>
  </si>
  <si>
    <t>Waktu</t>
  </si>
  <si>
    <t>Tema Jurnal</t>
  </si>
  <si>
    <t>Kegiatan Dilakukan</t>
  </si>
  <si>
    <t>Progress</t>
  </si>
  <si>
    <t>Status Jurnal</t>
  </si>
  <si>
    <t>Keterangan</t>
  </si>
  <si>
    <t>Tindak Lanjut Kepsek</t>
  </si>
  <si>
    <t xml:space="preserve"> </t>
  </si>
  <si>
    <t>TIMELINE MINGGUAN PERSIAPAN AKREDITASI SMP AL-WILDAN ISLAMIC SCHOOL 1 2026</t>
  </si>
  <si>
    <t>CHECKLIST DOKUMEN AKREDITASI PER/KOMPONEN</t>
  </si>
  <si>
    <t>Nama KOR</t>
  </si>
  <si>
    <t>KOORDINATOR KOMPENEN AKREDITAS</t>
  </si>
  <si>
    <t xml:space="preserve">NAMA KOORDINATOR </t>
  </si>
  <si>
    <t>JUMLAH DOKUMENT</t>
  </si>
  <si>
    <t>Anggi Rivana, M.Pd</t>
  </si>
  <si>
    <t>Salvira Nuryunda Setiadi, S.Psi</t>
  </si>
  <si>
    <t>Dini Alfian S.A</t>
  </si>
  <si>
    <t>Rani Puspita Rahayu,.M.Si</t>
  </si>
  <si>
    <t>M. Syarifuddin, S.Sos.I</t>
  </si>
  <si>
    <t>Yeni Fitriani, S.Pd., Gr</t>
  </si>
  <si>
    <t>Hari Agusasi Pramesti, S.Pd,.M.Pd</t>
  </si>
  <si>
    <t xml:space="preserve">BIDANG </t>
  </si>
  <si>
    <t>Dewi Susanti, M.S</t>
  </si>
  <si>
    <t>Elsa Utari Febriani, S.Psi</t>
  </si>
  <si>
    <t>Ari Apriliani S.E</t>
  </si>
  <si>
    <t>BEBAN PIC KOM 3 ( IKLIM LINGKUNGAN SEKOLAH)</t>
  </si>
  <si>
    <t>BEBAN PIC KOM 2 ( KEPEMIMPINAN KEPSEK)</t>
  </si>
  <si>
    <t>BEBAN PIC KOM 1 ( KINERJA PENDIDIK)</t>
  </si>
  <si>
    <t>BEBAN PIC KOM 4 ( HASIL BELAJAR)</t>
  </si>
  <si>
    <t>Tazkia Rahmaadani putri S.Pd</t>
  </si>
  <si>
    <t>Yulia Safitri, M.Pd</t>
  </si>
  <si>
    <t>Nabila Ayu Ningtiyas, S.Or</t>
  </si>
  <si>
    <t>Shabrina Aulia, S.IA</t>
  </si>
  <si>
    <t>Sarah AlFira S.Ag</t>
  </si>
  <si>
    <t>Ummu Amirah Husna S.Ag</t>
  </si>
  <si>
    <t>Nabila Fikria S.Ag</t>
  </si>
  <si>
    <t>Wieka Septiyana, M. Pd</t>
  </si>
  <si>
    <t>Rini susilawati, S.Pd</t>
  </si>
  <si>
    <t>Syaza Syahana, S.Pd.,M.Pd.</t>
  </si>
  <si>
    <t>Siti Nur Uswatun Hasanah S.Ag</t>
  </si>
  <si>
    <t>Septi Amalia Nugroho</t>
  </si>
  <si>
    <t>Siva Tuni Kartina</t>
  </si>
  <si>
    <t xml:space="preserve">Dwi Rima Islami, S.Pd </t>
  </si>
  <si>
    <t>Evi Afidah, SE</t>
  </si>
  <si>
    <t>Hanin Nitiani, S.Pd.</t>
  </si>
  <si>
    <t>Uswah Zilhaya, S.I.,M.Si</t>
  </si>
  <si>
    <t>Dwi Imas Wisudawati S.Pd</t>
  </si>
  <si>
    <t>Adipa Firyal.</t>
  </si>
  <si>
    <t>Khuzaifah Nadia S.Pd</t>
  </si>
  <si>
    <t>Tika Khusnul, S.Pd</t>
  </si>
  <si>
    <t>Siti Hajrul Jamilah S.Pd,.M.Pd</t>
  </si>
  <si>
    <t>Nurul Hidayah S.Ag</t>
  </si>
  <si>
    <t>Teti Sunarwati S.Ag</t>
  </si>
  <si>
    <t>DASHBOARD</t>
  </si>
  <si>
    <t>Muthia Dwi Haryanti, M.Pd</t>
  </si>
  <si>
    <t>SMP AL WILDAN ISLAMIC SCHOOL</t>
  </si>
  <si>
    <t>Riska Amelia, M.Si</t>
  </si>
  <si>
    <t>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</si>
</sst>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3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4"/>
      <name val="Calibri"/>
    </font>
    <font>
      <b/>
      <sz val="11"/>
      <color rgb="FF000000"/>
      <name val="Calibri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rgb="FFFFFF66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Calibri"/>
      <family val="2"/>
      <scheme val="minor"/>
    </font>
    <font>
      <sz val="11"/>
      <color rgb="FF000000"/>
      <name val="Tahoma"/>
      <family val="2"/>
    </font>
    <font>
      <sz val="11"/>
      <name val="Tahoma"/>
      <family val="2"/>
    </font>
    <font>
      <sz val="14"/>
      <color theme="1"/>
      <name val="Tahoma"/>
      <family val="2"/>
    </font>
    <font>
      <i/>
      <sz val="11"/>
      <color theme="1"/>
      <name val="Calibri"/>
      <family val="2"/>
      <scheme val="minor"/>
    </font>
    <font>
      <i/>
      <sz val="12"/>
      <color rgb="FF666666"/>
      <name val="Calibri"/>
      <family val="2"/>
    </font>
    <font>
      <b/>
      <sz val="11"/>
      <color rgb="FFFFFFFF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D9D2E9"/>
      </patternFill>
    </fill>
    <fill>
      <patternFill patternType="solid">
        <fgColor rgb="FFF3F3F3"/>
      </patternFill>
    </fill>
    <fill>
      <patternFill patternType="solid">
        <fgColor rgb="FFD9E2F3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/>
      <right style="dotted">
        <color auto="1"/>
      </right>
      <top style="medium">
        <color indexed="64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thin">
        <color rgb="FFD9D9D9"/>
      </bottom>
      <diagonal/>
    </border>
    <border>
      <left style="dotted">
        <color rgb="FFD9D9D9"/>
      </left>
      <right style="dotted">
        <color rgb="FFD9D9D9"/>
      </right>
      <top/>
      <bottom style="thin">
        <color rgb="FFD9D9D9"/>
      </bottom>
      <diagonal/>
    </border>
    <border>
      <left style="dotted">
        <color rgb="FFD9D9D9"/>
      </left>
      <right style="dotted">
        <color rgb="FFD9D9D9"/>
      </right>
      <top/>
      <bottom style="dotted">
        <color rgb="FFD9D9D9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9" fillId="18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8" borderId="0" xfId="0" applyFill="1"/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wrapText="1"/>
    </xf>
    <xf numFmtId="0" fontId="21" fillId="18" borderId="0" xfId="0" applyFont="1" applyFill="1"/>
    <xf numFmtId="0" fontId="14" fillId="19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4" fillId="16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0" fillId="18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4" fillId="19" borderId="0" xfId="0" applyFont="1" applyFill="1" applyAlignment="1">
      <alignment horizontal="center" vertical="center" wrapText="1"/>
    </xf>
    <xf numFmtId="0" fontId="17" fillId="17" borderId="0" xfId="0" applyFont="1" applyFill="1"/>
    <xf numFmtId="0" fontId="10" fillId="0" borderId="0" xfId="0" applyFont="1"/>
    <xf numFmtId="0" fontId="0" fillId="0" borderId="18" xfId="0" applyBorder="1"/>
    <xf numFmtId="0" fontId="22" fillId="17" borderId="17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left" vertical="center"/>
    </xf>
    <xf numFmtId="0" fontId="0" fillId="13" borderId="2" xfId="0" applyFill="1" applyBorder="1"/>
    <xf numFmtId="0" fontId="5" fillId="1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9" fontId="0" fillId="0" borderId="22" xfId="0" applyNumberFormat="1" applyBorder="1" applyAlignment="1">
      <alignment horizontal="center" vertical="center" wrapText="1"/>
    </xf>
    <xf numFmtId="0" fontId="0" fillId="0" borderId="22" xfId="0" applyBorder="1"/>
    <xf numFmtId="0" fontId="0" fillId="5" borderId="22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23" xfId="0" applyBorder="1" applyAlignment="1">
      <alignment horizontal="left" vertical="top" wrapText="1"/>
    </xf>
    <xf numFmtId="9" fontId="0" fillId="0" borderId="23" xfId="0" applyNumberFormat="1" applyBorder="1" applyAlignment="1">
      <alignment horizontal="center" vertical="center" wrapText="1"/>
    </xf>
    <xf numFmtId="0" fontId="0" fillId="0" borderId="23" xfId="0" applyBorder="1"/>
    <xf numFmtId="0" fontId="0" fillId="0" borderId="20" xfId="0" applyBorder="1"/>
    <xf numFmtId="0" fontId="0" fillId="0" borderId="20" xfId="0" applyBorder="1" applyAlignment="1">
      <alignment horizontal="left" vertical="center"/>
    </xf>
    <xf numFmtId="0" fontId="18" fillId="20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0" fillId="14" borderId="2" xfId="0" applyFill="1" applyBorder="1"/>
    <xf numFmtId="0" fontId="9" fillId="15" borderId="0" xfId="0" applyFont="1" applyFill="1" applyAlignment="1">
      <alignment horizontal="center" vertical="center" wrapText="1"/>
    </xf>
    <xf numFmtId="0" fontId="9" fillId="22" borderId="0" xfId="0" applyFont="1" applyFill="1" applyAlignment="1">
      <alignment horizontal="center" vertical="center" wrapText="1"/>
    </xf>
    <xf numFmtId="0" fontId="0" fillId="13" borderId="14" xfId="0" applyFill="1" applyBorder="1"/>
    <xf numFmtId="0" fontId="0" fillId="13" borderId="15" xfId="0" applyFill="1" applyBorder="1"/>
    <xf numFmtId="0" fontId="0" fillId="13" borderId="16" xfId="0" applyFill="1" applyBorder="1"/>
    <xf numFmtId="0" fontId="9" fillId="25" borderId="0" xfId="0" applyFont="1" applyFill="1" applyAlignment="1">
      <alignment horizontal="center" vertical="center" wrapText="1"/>
    </xf>
    <xf numFmtId="0" fontId="0" fillId="14" borderId="0" xfId="0" applyFill="1" applyAlignment="1">
      <alignment vertical="center"/>
    </xf>
    <xf numFmtId="0" fontId="0" fillId="14" borderId="0" xfId="0" applyFill="1" applyAlignment="1">
      <alignment vertical="center" wrapText="1"/>
    </xf>
    <xf numFmtId="0" fontId="0" fillId="22" borderId="25" xfId="0" applyFill="1" applyBorder="1"/>
    <xf numFmtId="0" fontId="0" fillId="22" borderId="26" xfId="0" applyFill="1" applyBorder="1"/>
    <xf numFmtId="0" fontId="0" fillId="22" borderId="27" xfId="0" applyFill="1" applyBorder="1"/>
    <xf numFmtId="0" fontId="0" fillId="23" borderId="25" xfId="0" applyFill="1" applyBorder="1"/>
    <xf numFmtId="0" fontId="0" fillId="23" borderId="26" xfId="0" applyFill="1" applyBorder="1"/>
    <xf numFmtId="0" fontId="0" fillId="23" borderId="27" xfId="0" applyFill="1" applyBorder="1"/>
    <xf numFmtId="0" fontId="0" fillId="18" borderId="2" xfId="0" applyFill="1" applyBorder="1"/>
    <xf numFmtId="0" fontId="9" fillId="27" borderId="0" xfId="0" applyFont="1" applyFill="1" applyAlignment="1">
      <alignment horizontal="center" vertical="center" wrapText="1"/>
    </xf>
    <xf numFmtId="0" fontId="0" fillId="20" borderId="2" xfId="0" applyFill="1" applyBorder="1"/>
    <xf numFmtId="0" fontId="0" fillId="20" borderId="2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26" borderId="2" xfId="0" applyFill="1" applyBorder="1"/>
    <xf numFmtId="0" fontId="0" fillId="14" borderId="0" xfId="0" applyFill="1" applyAlignment="1">
      <alignment wrapText="1"/>
    </xf>
    <xf numFmtId="0" fontId="0" fillId="20" borderId="2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left" vertical="center" wrapText="1"/>
    </xf>
    <xf numFmtId="0" fontId="27" fillId="18" borderId="2" xfId="0" applyFont="1" applyFill="1" applyBorder="1" applyAlignment="1">
      <alignment horizontal="left" vertical="center" wrapText="1"/>
    </xf>
    <xf numFmtId="0" fontId="26" fillId="28" borderId="2" xfId="0" applyFont="1" applyFill="1" applyBorder="1" applyAlignment="1">
      <alignment horizontal="left" vertical="center" wrapText="1"/>
    </xf>
    <xf numFmtId="0" fontId="24" fillId="20" borderId="2" xfId="0" applyFont="1" applyFill="1" applyBorder="1" applyAlignment="1">
      <alignment horizontal="left" vertical="center" wrapText="1"/>
    </xf>
    <xf numFmtId="0" fontId="28" fillId="14" borderId="0" xfId="0" applyFont="1" applyFill="1" applyAlignment="1">
      <alignment horizontal="center" vertical="center"/>
    </xf>
    <xf numFmtId="0" fontId="26" fillId="14" borderId="2" xfId="0" applyFont="1" applyFill="1" applyBorder="1" applyAlignment="1">
      <alignment horizontal="left" vertical="center" wrapText="1"/>
    </xf>
    <xf numFmtId="0" fontId="26" fillId="14" borderId="2" xfId="0" applyFont="1" applyFill="1" applyBorder="1" applyAlignment="1">
      <alignment wrapText="1"/>
    </xf>
    <xf numFmtId="0" fontId="24" fillId="14" borderId="2" xfId="0" applyFont="1" applyFill="1" applyBorder="1" applyAlignment="1">
      <alignment wrapText="1"/>
    </xf>
    <xf numFmtId="0" fontId="0" fillId="28" borderId="2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26" fillId="28" borderId="2" xfId="0" applyFont="1" applyFill="1" applyBorder="1" applyAlignment="1">
      <alignment vertical="center"/>
    </xf>
    <xf numFmtId="0" fontId="0" fillId="26" borderId="2" xfId="0" applyFill="1" applyBorder="1" applyAlignment="1">
      <alignment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18" fillId="20" borderId="2" xfId="0" applyFont="1" applyFill="1" applyBorder="1" applyAlignment="1">
      <alignment vertical="center" wrapText="1"/>
    </xf>
    <xf numFmtId="0" fontId="24" fillId="0" borderId="31" xfId="0" applyFont="1" applyBorder="1" applyAlignment="1">
      <alignment vertical="center" wrapText="1"/>
    </xf>
    <xf numFmtId="0" fontId="24" fillId="13" borderId="0" xfId="0" applyFont="1" applyFill="1" applyAlignment="1">
      <alignment vertical="center" wrapText="1"/>
    </xf>
    <xf numFmtId="0" fontId="24" fillId="13" borderId="2" xfId="0" applyFont="1" applyFill="1" applyBorder="1"/>
    <xf numFmtId="0" fontId="24" fillId="0" borderId="32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center" vertical="center" wrapText="1"/>
    </xf>
    <xf numFmtId="0" fontId="18" fillId="20" borderId="2" xfId="0" applyFont="1" applyFill="1" applyBorder="1" applyAlignment="1">
      <alignment horizontal="left" vertical="center" wrapText="1"/>
    </xf>
    <xf numFmtId="0" fontId="25" fillId="0" borderId="31" xfId="0" applyFont="1" applyBorder="1" applyAlignment="1">
      <alignment vertical="center" wrapText="1"/>
    </xf>
    <xf numFmtId="0" fontId="0" fillId="0" borderId="31" xfId="0" applyBorder="1"/>
    <xf numFmtId="0" fontId="18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0" fontId="24" fillId="14" borderId="0" xfId="0" applyFont="1" applyFill="1"/>
    <xf numFmtId="0" fontId="24" fillId="14" borderId="0" xfId="0" applyFont="1" applyFill="1" applyAlignment="1">
      <alignment vertical="center" wrapText="1"/>
    </xf>
    <xf numFmtId="0" fontId="25" fillId="14" borderId="0" xfId="0" applyFont="1" applyFill="1" applyAlignment="1">
      <alignment vertical="center" wrapText="1"/>
    </xf>
    <xf numFmtId="0" fontId="26" fillId="14" borderId="0" xfId="0" applyFont="1" applyFill="1"/>
    <xf numFmtId="0" fontId="26" fillId="14" borderId="0" xfId="0" applyFont="1" applyFill="1" applyAlignment="1">
      <alignment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5" fillId="14" borderId="0" xfId="0" applyFont="1" applyFill="1" applyAlignment="1">
      <alignment horizontal="center" vertical="center"/>
    </xf>
    <xf numFmtId="0" fontId="24" fillId="0" borderId="28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left" vertical="center" wrapText="1"/>
    </xf>
    <xf numFmtId="0" fontId="31" fillId="17" borderId="0" xfId="0" applyFont="1" applyFill="1" applyAlignment="1">
      <alignment horizontal="center"/>
    </xf>
    <xf numFmtId="0" fontId="9" fillId="18" borderId="0" xfId="0" applyFont="1" applyFill="1" applyAlignment="1">
      <alignment horizontal="center" vertical="center" wrapText="1"/>
    </xf>
    <xf numFmtId="0" fontId="1" fillId="16" borderId="24" xfId="0" applyFont="1" applyFill="1" applyBorder="1" applyAlignment="1">
      <alignment horizontal="center"/>
    </xf>
    <xf numFmtId="0" fontId="1" fillId="16" borderId="30" xfId="0" applyFont="1" applyFill="1" applyBorder="1" applyAlignment="1">
      <alignment horizontal="center"/>
    </xf>
    <xf numFmtId="0" fontId="1" fillId="16" borderId="19" xfId="0" applyFont="1" applyFill="1" applyBorder="1" applyAlignment="1">
      <alignment horizontal="center"/>
    </xf>
    <xf numFmtId="0" fontId="18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/>
    </xf>
    <xf numFmtId="0" fontId="11" fillId="14" borderId="0" xfId="0" applyFont="1" applyFill="1" applyAlignment="1">
      <alignment horizontal="right" vertical="center"/>
    </xf>
    <xf numFmtId="0" fontId="0" fillId="14" borderId="0" xfId="0" applyFill="1" applyAlignment="1">
      <alignment horizontal="right" vertical="center"/>
    </xf>
    <xf numFmtId="0" fontId="0" fillId="0" borderId="15" xfId="0" applyBorder="1" applyAlignment="1">
      <alignment vertical="center"/>
    </xf>
    <xf numFmtId="9" fontId="8" fillId="0" borderId="14" xfId="0" applyNumberFormat="1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" fillId="7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5" fillId="11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2" fillId="14" borderId="0" xfId="0" applyFont="1" applyFill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5" fillId="12" borderId="9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11" fillId="14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3" fillId="24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/>
    </xf>
    <xf numFmtId="0" fontId="13" fillId="17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left" vertical="center" wrapText="1"/>
    </xf>
    <xf numFmtId="0" fontId="30" fillId="9" borderId="0" xfId="0" applyFont="1" applyFill="1" applyAlignment="1">
      <alignment horizontal="left" vertical="top" wrapText="1"/>
    </xf>
    <xf numFmtId="0" fontId="4" fillId="9" borderId="0" xfId="0" applyFont="1" applyFill="1" applyAlignment="1">
      <alignment horizontal="left" vertical="top" wrapText="1"/>
    </xf>
    <xf numFmtId="0" fontId="0" fillId="0" borderId="0" xfId="0"/>
    <xf numFmtId="0" fontId="22" fillId="16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horizontal="left"/>
    </xf>
    <xf numFmtId="0" fontId="0" fillId="13" borderId="0" xfId="0" applyFill="1"/>
    <xf numFmtId="0" fontId="19" fillId="16" borderId="0" xfId="0" applyFont="1" applyFill="1"/>
    <xf numFmtId="0" fontId="20" fillId="16" borderId="0" xfId="0" applyFont="1" applyFill="1"/>
    <xf numFmtId="0" fontId="29" fillId="13" borderId="0" xfId="0" applyFont="1" applyFill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5" fillId="10" borderId="20" xfId="0" applyFont="1" applyFill="1" applyBorder="1" applyAlignment="1">
      <alignment horizontal="center" vertical="center" wrapText="1"/>
    </xf>
    <xf numFmtId="0" fontId="0" fillId="0" borderId="20" xfId="0" applyBorder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6" fillId="18" borderId="0" xfId="0" applyFont="1" applyFill="1"/>
    <xf numFmtId="9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21">
    <dxf>
      <fill>
        <patternFill>
          <bgColor rgb="FFEDEDED"/>
        </patternFill>
      </fill>
    </dxf>
    <dxf>
      <fill>
        <patternFill>
          <bgColor rgb="FFF4CCCC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>
          <bgColor rgb="FFEDEDED"/>
        </patternFill>
      </fill>
    </dxf>
    <dxf>
      <fill>
        <patternFill>
          <bgColor rgb="FFF4CCCC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>
          <bgColor rgb="FFEDEDED"/>
        </patternFill>
      </fill>
    </dxf>
    <dxf>
      <fill>
        <patternFill>
          <bgColor rgb="FFF4CCCC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GRAFIK STATUS KEGIATAN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DASHBOARD!$D$27</c:f>
              <c:strCache>
                <c:ptCount val="1"/>
                <c:pt idx="0">
                  <c:v>Jumlah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05-4AC8-A324-3FADC30A363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05-4AC8-A324-3FADC30A363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05-4AC8-A324-3FADC30A363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05-4AC8-A324-3FADC30A3639}"/>
              </c:ext>
            </c:extLst>
          </c:dPt>
          <c:cat>
            <c:strRef>
              <c:f>DASHBOARD!$C$28:$C$31</c:f>
              <c:strCache>
                <c:ptCount val="4"/>
                <c:pt idx="0">
                  <c:v>Belum Mulai</c:v>
                </c:pt>
                <c:pt idx="1">
                  <c:v>Berjalan</c:v>
                </c:pt>
                <c:pt idx="2">
                  <c:v>Selesai</c:v>
                </c:pt>
                <c:pt idx="3">
                  <c:v>Terlambat</c:v>
                </c:pt>
              </c:strCache>
            </c:strRef>
          </c:cat>
          <c:val>
            <c:numRef>
              <c:f>DASHBOARD!$D$28:$D$31</c:f>
              <c:numCache>
                <c:formatCode>General</c:formatCode>
                <c:ptCount val="4"/>
                <c:pt idx="0">
                  <c:v>30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F-4B23-8DA7-C26BE3780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200"/>
              <a:t>Total Dokumen per Komponen</a:t>
            </a:r>
          </a:p>
        </c:rich>
      </c:tx>
      <c:layout>
        <c:manualLayout>
          <c:xMode val="edge"/>
          <c:yMode val="edge"/>
          <c:x val="3.3762805422518034E-2"/>
          <c:y val="2.531645569620253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3B-41D1-B6C5-96E65B8B87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13-497F-B4E0-3E2194AD7E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3B-41D1-B6C5-96E65B8B87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3B-41D1-B6C5-96E65B8B87F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DASHBOARD!$F$28:$F$31</c:f>
              <c:numCache>
                <c:formatCode>General</c:formatCode>
                <c:ptCount val="4"/>
              </c:numCache>
            </c:numRef>
          </c:cat>
          <c:val>
            <c:numRef>
              <c:f>DASHBOARD!$G$28:$G$31</c:f>
              <c:numCache>
                <c:formatCode>General</c:formatCode>
                <c:ptCount val="4"/>
                <c:pt idx="0">
                  <c:v>19</c:v>
                </c:pt>
                <c:pt idx="1">
                  <c:v>21</c:v>
                </c:pt>
                <c:pt idx="2">
                  <c:v>19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3-497F-B4E0-3E2194AD7E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4742268041237112E-2"/>
          <c:y val="0.13330359812618359"/>
          <c:w val="0.32625505316990017"/>
          <c:h val="0.8599750822286454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clipart.org/detail/212114/house" TargetMode="External"/><Relationship Id="rId3" Type="http://schemas.openxmlformats.org/officeDocument/2006/relationships/image" Target="../media/image1.png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Dashboard Akre'!A1"/><Relationship Id="rId5" Type="http://schemas.openxmlformats.org/officeDocument/2006/relationships/hyperlink" Target="#'JURNAL KOORD'!A1"/><Relationship Id="rId4" Type="http://schemas.openxmlformats.org/officeDocument/2006/relationships/hyperlink" Target="#'Checklist Dokumen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12114/house" TargetMode="External"/><Relationship Id="rId2" Type="http://schemas.openxmlformats.org/officeDocument/2006/relationships/image" Target="../media/image3.png"/><Relationship Id="rId1" Type="http://schemas.openxmlformats.org/officeDocument/2006/relationships/hyperlink" Target="#'Dashboard Akre'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12114/house" TargetMode="External"/><Relationship Id="rId2" Type="http://schemas.openxmlformats.org/officeDocument/2006/relationships/image" Target="../media/image3.png"/><Relationship Id="rId1" Type="http://schemas.openxmlformats.org/officeDocument/2006/relationships/hyperlink" Target="#'Dashboard Akre'!A1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12114/house" TargetMode="External"/><Relationship Id="rId2" Type="http://schemas.openxmlformats.org/officeDocument/2006/relationships/image" Target="../media/image4.png"/><Relationship Id="rId1" Type="http://schemas.openxmlformats.org/officeDocument/2006/relationships/hyperlink" Target="#'Dashboard Akre'!A1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12114/house" TargetMode="External"/><Relationship Id="rId2" Type="http://schemas.openxmlformats.org/officeDocument/2006/relationships/image" Target="../media/image4.png"/><Relationship Id="rId1" Type="http://schemas.openxmlformats.org/officeDocument/2006/relationships/hyperlink" Target="#'Dashboard Akre'!A1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12114/house" TargetMode="External"/><Relationship Id="rId2" Type="http://schemas.openxmlformats.org/officeDocument/2006/relationships/image" Target="../media/image3.png"/><Relationship Id="rId1" Type="http://schemas.openxmlformats.org/officeDocument/2006/relationships/hyperlink" Target="#'Dashboard Akr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4</xdr:row>
      <xdr:rowOff>19050</xdr:rowOff>
    </xdr:from>
    <xdr:to>
      <xdr:col>11</xdr:col>
      <xdr:colOff>19050</xdr:colOff>
      <xdr:row>15</xdr:row>
      <xdr:rowOff>6350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A78F4AF-FB42-F912-250B-D95BBBB87F73}"/>
            </a:ext>
          </a:extLst>
        </xdr:cNvPr>
        <xdr:cNvGrpSpPr/>
      </xdr:nvGrpSpPr>
      <xdr:grpSpPr>
        <a:xfrm>
          <a:off x="1701800" y="889000"/>
          <a:ext cx="7226300" cy="2051050"/>
          <a:chOff x="2660650" y="876300"/>
          <a:chExt cx="7759700" cy="201295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2660650" y="876300"/>
          <a:ext cx="4057650" cy="2012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6794500" y="876300"/>
          <a:ext cx="3625850" cy="2006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11</xdr:col>
      <xdr:colOff>196850</xdr:colOff>
      <xdr:row>4</xdr:row>
      <xdr:rowOff>44450</xdr:rowOff>
    </xdr:from>
    <xdr:to>
      <xdr:col>12</xdr:col>
      <xdr:colOff>374650</xdr:colOff>
      <xdr:row>12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5C0FD1-BC88-40CA-8CF1-0EC5A271C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914400"/>
          <a:ext cx="1447800" cy="14478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2</xdr:col>
      <xdr:colOff>95250</xdr:colOff>
      <xdr:row>15</xdr:row>
      <xdr:rowOff>177800</xdr:rowOff>
    </xdr:from>
    <xdr:to>
      <xdr:col>3</xdr:col>
      <xdr:colOff>228600</xdr:colOff>
      <xdr:row>16</xdr:row>
      <xdr:rowOff>285750</xdr:rowOff>
    </xdr:to>
    <xdr:sp macro="" textlink="">
      <xdr:nvSpPr>
        <xdr:cNvPr id="12" name="Rectangle: Rounded Corner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BBE551-18AE-B212-CC06-416DDE68F143}"/>
            </a:ext>
          </a:extLst>
        </xdr:cNvPr>
        <xdr:cNvSpPr/>
      </xdr:nvSpPr>
      <xdr:spPr>
        <a:xfrm>
          <a:off x="1555750" y="3086100"/>
          <a:ext cx="1657350" cy="34290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CHECKLIST DOCUMENT </a:t>
          </a:r>
          <a:endParaRPr lang="en-ID" sz="1100"/>
        </a:p>
      </xdr:txBody>
    </xdr:sp>
    <xdr:clientData/>
  </xdr:twoCellAnchor>
  <xdr:twoCellAnchor>
    <xdr:from>
      <xdr:col>3</xdr:col>
      <xdr:colOff>368300</xdr:colOff>
      <xdr:row>15</xdr:row>
      <xdr:rowOff>177800</xdr:rowOff>
    </xdr:from>
    <xdr:to>
      <xdr:col>5</xdr:col>
      <xdr:colOff>306341</xdr:colOff>
      <xdr:row>16</xdr:row>
      <xdr:rowOff>285750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155AF93-B90C-76D5-97C3-2A72E3D7C55C}"/>
            </a:ext>
          </a:extLst>
        </xdr:cNvPr>
        <xdr:cNvSpPr/>
      </xdr:nvSpPr>
      <xdr:spPr>
        <a:xfrm>
          <a:off x="3352800" y="3086100"/>
          <a:ext cx="1620791" cy="3429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TIMELINE WEEKS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5</xdr:col>
      <xdr:colOff>501650</xdr:colOff>
      <xdr:row>15</xdr:row>
      <xdr:rowOff>158750</xdr:rowOff>
    </xdr:from>
    <xdr:to>
      <xdr:col>6</xdr:col>
      <xdr:colOff>450850</xdr:colOff>
      <xdr:row>16</xdr:row>
      <xdr:rowOff>266700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7805699-4A60-4274-9339-467F02E932F6}"/>
            </a:ext>
          </a:extLst>
        </xdr:cNvPr>
        <xdr:cNvSpPr/>
      </xdr:nvSpPr>
      <xdr:spPr>
        <a:xfrm>
          <a:off x="3924300" y="3054350"/>
          <a:ext cx="1530350" cy="34290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CHECKLIST DOC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6</xdr:col>
      <xdr:colOff>615950</xdr:colOff>
      <xdr:row>15</xdr:row>
      <xdr:rowOff>165100</xdr:rowOff>
    </xdr:from>
    <xdr:to>
      <xdr:col>8</xdr:col>
      <xdr:colOff>730250</xdr:colOff>
      <xdr:row>16</xdr:row>
      <xdr:rowOff>273050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82B19D4E-3872-4A59-80FF-4D83F6AEB2FC}"/>
            </a:ext>
          </a:extLst>
        </xdr:cNvPr>
        <xdr:cNvSpPr/>
      </xdr:nvSpPr>
      <xdr:spPr>
        <a:xfrm>
          <a:off x="5619750" y="3060700"/>
          <a:ext cx="1631950" cy="3429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88900</xdr:colOff>
      <xdr:row>17</xdr:row>
      <xdr:rowOff>82550</xdr:rowOff>
    </xdr:from>
    <xdr:to>
      <xdr:col>3</xdr:col>
      <xdr:colOff>222250</xdr:colOff>
      <xdr:row>18</xdr:row>
      <xdr:rowOff>44450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E377C19-07EB-4CDF-A21F-608EA2024123}"/>
            </a:ext>
          </a:extLst>
        </xdr:cNvPr>
        <xdr:cNvSpPr/>
      </xdr:nvSpPr>
      <xdr:spPr>
        <a:xfrm>
          <a:off x="1549400" y="3606800"/>
          <a:ext cx="1657350" cy="34290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JURNAL KOMPONEN 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3</xdr:col>
      <xdr:colOff>361950</xdr:colOff>
      <xdr:row>17</xdr:row>
      <xdr:rowOff>82550</xdr:rowOff>
    </xdr:from>
    <xdr:to>
      <xdr:col>5</xdr:col>
      <xdr:colOff>299991</xdr:colOff>
      <xdr:row>18</xdr:row>
      <xdr:rowOff>44450</xdr:rowOff>
    </xdr:to>
    <xdr:sp macro="" textlink="">
      <xdr:nvSpPr>
        <xdr:cNvPr id="25" name="Rectangle: Rounded Corner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35B58B-3B0E-4012-9C2A-AB5BF7D6F4CB}"/>
            </a:ext>
          </a:extLst>
        </xdr:cNvPr>
        <xdr:cNvSpPr/>
      </xdr:nvSpPr>
      <xdr:spPr>
        <a:xfrm>
          <a:off x="3346450" y="3606800"/>
          <a:ext cx="1620791" cy="3429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JURNAL KOORDINATOR</a:t>
          </a:r>
          <a:r>
            <a:rPr lang="en-ID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5</xdr:col>
      <xdr:colOff>495300</xdr:colOff>
      <xdr:row>17</xdr:row>
      <xdr:rowOff>63500</xdr:rowOff>
    </xdr:from>
    <xdr:to>
      <xdr:col>6</xdr:col>
      <xdr:colOff>444500</xdr:colOff>
      <xdr:row>18</xdr:row>
      <xdr:rowOff>25400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4D977E8B-7DB5-408A-8FB8-FA3B5D31D60A}"/>
            </a:ext>
          </a:extLst>
        </xdr:cNvPr>
        <xdr:cNvSpPr/>
      </xdr:nvSpPr>
      <xdr:spPr>
        <a:xfrm>
          <a:off x="3917950" y="3575050"/>
          <a:ext cx="1530350" cy="34290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609599</xdr:colOff>
      <xdr:row>17</xdr:row>
      <xdr:rowOff>69850</xdr:rowOff>
    </xdr:from>
    <xdr:to>
      <xdr:col>8</xdr:col>
      <xdr:colOff>732388</xdr:colOff>
      <xdr:row>18</xdr:row>
      <xdr:rowOff>31750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DB85662E-6788-4D45-B870-8607AAEEDDEE}"/>
            </a:ext>
          </a:extLst>
        </xdr:cNvPr>
        <xdr:cNvSpPr/>
      </xdr:nvSpPr>
      <xdr:spPr>
        <a:xfrm>
          <a:off x="5613399" y="3581400"/>
          <a:ext cx="1640439" cy="3429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135777</xdr:colOff>
      <xdr:row>4</xdr:row>
      <xdr:rowOff>155278</xdr:rowOff>
    </xdr:from>
    <xdr:to>
      <xdr:col>3</xdr:col>
      <xdr:colOff>50558</xdr:colOff>
      <xdr:row>11</xdr:row>
      <xdr:rowOff>57150</xdr:rowOff>
    </xdr:to>
    <xdr:pic>
      <xdr:nvPicPr>
        <xdr:cNvPr id="31" name="Picture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83DBFAB-9913-BABD-1CAA-745BD8321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275477" y="1025228"/>
          <a:ext cx="1426081" cy="1190922"/>
        </a:xfrm>
        <a:prstGeom prst="rect">
          <a:avLst/>
        </a:prstGeom>
      </xdr:spPr>
    </xdr:pic>
    <xdr:clientData/>
  </xdr:twoCellAnchor>
  <xdr:twoCellAnchor>
    <xdr:from>
      <xdr:col>8</xdr:col>
      <xdr:colOff>958850</xdr:colOff>
      <xdr:row>15</xdr:row>
      <xdr:rowOff>171450</xdr:rowOff>
    </xdr:from>
    <xdr:to>
      <xdr:col>10</xdr:col>
      <xdr:colOff>520700</xdr:colOff>
      <xdr:row>16</xdr:row>
      <xdr:rowOff>279400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B96D48-3192-404E-B11D-CA1C70E8F7F7}"/>
            </a:ext>
          </a:extLst>
        </xdr:cNvPr>
        <xdr:cNvSpPr/>
      </xdr:nvSpPr>
      <xdr:spPr>
        <a:xfrm>
          <a:off x="7480300" y="3067050"/>
          <a:ext cx="1797050" cy="34290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CHECKLIST DOC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8</xdr:col>
      <xdr:colOff>952500</xdr:colOff>
      <xdr:row>17</xdr:row>
      <xdr:rowOff>76200</xdr:rowOff>
    </xdr:from>
    <xdr:to>
      <xdr:col>10</xdr:col>
      <xdr:colOff>514350</xdr:colOff>
      <xdr:row>18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6C5D5F9-BFF4-4BBF-8D4F-010ABB9DDE1B}"/>
            </a:ext>
          </a:extLst>
        </xdr:cNvPr>
        <xdr:cNvSpPr/>
      </xdr:nvSpPr>
      <xdr:spPr>
        <a:xfrm>
          <a:off x="7473950" y="3587750"/>
          <a:ext cx="1797050" cy="34290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19050</xdr:colOff>
      <xdr:row>15</xdr:row>
      <xdr:rowOff>158750</xdr:rowOff>
    </xdr:from>
    <xdr:to>
      <xdr:col>13</xdr:col>
      <xdr:colOff>420641</xdr:colOff>
      <xdr:row>16</xdr:row>
      <xdr:rowOff>266700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706CBA6-384A-4BF2-B4EF-3DCFA0D78F51}"/>
            </a:ext>
          </a:extLst>
        </xdr:cNvPr>
        <xdr:cNvSpPr/>
      </xdr:nvSpPr>
      <xdr:spPr>
        <a:xfrm>
          <a:off x="9486900" y="3054350"/>
          <a:ext cx="1620791" cy="3429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TIMELINE WEEKS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11</xdr:col>
      <xdr:colOff>12700</xdr:colOff>
      <xdr:row>17</xdr:row>
      <xdr:rowOff>63500</xdr:rowOff>
    </xdr:from>
    <xdr:to>
      <xdr:col>13</xdr:col>
      <xdr:colOff>414291</xdr:colOff>
      <xdr:row>18</xdr:row>
      <xdr:rowOff>25400</xdr:rowOff>
    </xdr:to>
    <xdr:sp macro="" textlink="">
      <xdr:nvSpPr>
        <xdr:cNvPr id="10" name="Rectangle: Rounded Corner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AB200A-CC98-4B0A-AA84-CB5257571B9C}"/>
            </a:ext>
          </a:extLst>
        </xdr:cNvPr>
        <xdr:cNvSpPr/>
      </xdr:nvSpPr>
      <xdr:spPr>
        <a:xfrm>
          <a:off x="9480550" y="3575050"/>
          <a:ext cx="1620791" cy="3429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JURNAL KOORDINATOR</a:t>
          </a:r>
          <a:r>
            <a:rPr lang="en-ID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D">
            <a:effectLst/>
          </a:endParaRPr>
        </a:p>
        <a:p>
          <a:pPr algn="ctr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355601</xdr:colOff>
      <xdr:row>0</xdr:row>
      <xdr:rowOff>0</xdr:rowOff>
    </xdr:from>
    <xdr:to>
      <xdr:col>3</xdr:col>
      <xdr:colOff>1676400</xdr:colOff>
      <xdr:row>2</xdr:row>
      <xdr:rowOff>178922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D9B7A44-2A2E-1954-FB9F-47D76F65DAF9}"/>
            </a:ext>
          </a:extLst>
        </xdr:cNvPr>
        <xdr:cNvGrpSpPr/>
      </xdr:nvGrpSpPr>
      <xdr:grpSpPr>
        <a:xfrm>
          <a:off x="1136651" y="0"/>
          <a:ext cx="2622549" cy="547222"/>
          <a:chOff x="762001" y="-292100"/>
          <a:chExt cx="2622549" cy="655172"/>
        </a:xfrm>
      </xdr:grpSpPr>
      <xdr:pic>
        <xdr:nvPicPr>
          <xdr:cNvPr id="2" name="Picture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BA38E72-7EBF-413A-9459-81DC60DEF3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tretch>
            <a:fillRect/>
          </a:stretch>
        </xdr:blipFill>
        <xdr:spPr>
          <a:xfrm>
            <a:off x="762001" y="-292100"/>
            <a:ext cx="627474" cy="621989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F9F10C1-7F94-4EAC-B396-D3E2774F8D40}"/>
              </a:ext>
            </a:extLst>
          </xdr:cNvPr>
          <xdr:cNvSpPr/>
        </xdr:nvSpPr>
        <xdr:spPr>
          <a:xfrm>
            <a:off x="1295400" y="-120650"/>
            <a:ext cx="2089150" cy="48372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GB" sz="25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DASHBOARD</a:t>
            </a:r>
          </a:p>
        </xdr:txBody>
      </xdr:sp>
    </xdr:grpSp>
    <xdr:clientData/>
  </xdr:twoCellAnchor>
  <xdr:twoCellAnchor editAs="oneCell">
    <xdr:from>
      <xdr:col>1</xdr:col>
      <xdr:colOff>44450</xdr:colOff>
      <xdr:row>0</xdr:row>
      <xdr:rowOff>76200</xdr:rowOff>
    </xdr:from>
    <xdr:to>
      <xdr:col>2</xdr:col>
      <xdr:colOff>127000</xdr:colOff>
      <xdr:row>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99F4B-DC75-4C7C-9FCD-5FE6B87C5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76200"/>
          <a:ext cx="425450" cy="425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0</xdr:row>
      <xdr:rowOff>6350</xdr:rowOff>
    </xdr:from>
    <xdr:to>
      <xdr:col>4</xdr:col>
      <xdr:colOff>1174750</xdr:colOff>
      <xdr:row>2</xdr:row>
      <xdr:rowOff>172572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876820B-D71B-984A-B2AA-9C1E7D2E75B1}"/>
            </a:ext>
          </a:extLst>
        </xdr:cNvPr>
        <xdr:cNvGrpSpPr/>
      </xdr:nvGrpSpPr>
      <xdr:grpSpPr>
        <a:xfrm>
          <a:off x="1339850" y="6350"/>
          <a:ext cx="2540000" cy="534522"/>
          <a:chOff x="7315200" y="368300"/>
          <a:chExt cx="2540000" cy="534522"/>
        </a:xfrm>
      </xdr:grpSpPr>
      <xdr:pic>
        <xdr:nvPicPr>
          <xdr:cNvPr id="2" name="Picture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2DD3EF7-A285-4A46-AC3C-78C5E5FD9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tretch>
            <a:fillRect/>
          </a:stretch>
        </xdr:blipFill>
        <xdr:spPr>
          <a:xfrm>
            <a:off x="7315200" y="368300"/>
            <a:ext cx="512166" cy="507689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FF95B328-7666-4920-8138-5DF9EC2B628A}"/>
              </a:ext>
            </a:extLst>
          </xdr:cNvPr>
          <xdr:cNvSpPr/>
        </xdr:nvSpPr>
        <xdr:spPr>
          <a:xfrm>
            <a:off x="7766050" y="419100"/>
            <a:ext cx="2089150" cy="483722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GB" sz="25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DASHBOARD</a:t>
            </a:r>
          </a:p>
        </xdr:txBody>
      </xdr:sp>
    </xdr:grpSp>
    <xdr:clientData/>
  </xdr:twoCellAnchor>
  <xdr:twoCellAnchor editAs="oneCell">
    <xdr:from>
      <xdr:col>1</xdr:col>
      <xdr:colOff>76200</xdr:colOff>
      <xdr:row>0</xdr:row>
      <xdr:rowOff>69850</xdr:rowOff>
    </xdr:from>
    <xdr:to>
      <xdr:col>2</xdr:col>
      <xdr:colOff>114300</xdr:colOff>
      <xdr:row>2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968021-F694-4439-B867-62A686DE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9850"/>
          <a:ext cx="457200" cy="4572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805653</xdr:colOff>
      <xdr:row>0</xdr:row>
      <xdr:rowOff>78552</xdr:rowOff>
    </xdr:from>
    <xdr:to>
      <xdr:col>4</xdr:col>
      <xdr:colOff>231815</xdr:colOff>
      <xdr:row>4</xdr:row>
      <xdr:rowOff>25421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276DA0-08E5-4506-AF1C-AC5A99A6DBF9}"/>
            </a:ext>
          </a:extLst>
        </xdr:cNvPr>
        <xdr:cNvGrpSpPr/>
      </xdr:nvGrpSpPr>
      <xdr:grpSpPr>
        <a:xfrm>
          <a:off x="1237453" y="78552"/>
          <a:ext cx="2531312" cy="683469"/>
          <a:chOff x="532603" y="91252"/>
          <a:chExt cx="2531312" cy="683469"/>
        </a:xfrm>
      </xdr:grpSpPr>
      <xdr:pic>
        <xdr:nvPicPr>
          <xdr:cNvPr id="3" name="Picture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71BDA3C-5C60-6F99-B26E-185FA407C1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tretch>
            <a:fillRect/>
          </a:stretch>
        </xdr:blipFill>
        <xdr:spPr>
          <a:xfrm>
            <a:off x="532603" y="91252"/>
            <a:ext cx="610397" cy="60506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49660E1-FFEB-AAFF-C537-C496EA961A89}"/>
              </a:ext>
            </a:extLst>
          </xdr:cNvPr>
          <xdr:cNvSpPr/>
        </xdr:nvSpPr>
        <xdr:spPr>
          <a:xfrm>
            <a:off x="1231900" y="290999"/>
            <a:ext cx="1832015" cy="4837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GB" sz="25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DASHBOARD</a:t>
            </a:r>
          </a:p>
        </xdr:txBody>
      </xdr:sp>
    </xdr:grpSp>
    <xdr:clientData/>
  </xdr:twoCellAnchor>
  <xdr:twoCellAnchor editAs="oneCell">
    <xdr:from>
      <xdr:col>1</xdr:col>
      <xdr:colOff>133350</xdr:colOff>
      <xdr:row>0</xdr:row>
      <xdr:rowOff>114300</xdr:rowOff>
    </xdr:from>
    <xdr:to>
      <xdr:col>1</xdr:col>
      <xdr:colOff>685800</xdr:colOff>
      <xdr:row>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01322C-2ADD-4910-8CAC-DFEF13CC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" y="114300"/>
          <a:ext cx="552450" cy="552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805653</xdr:colOff>
      <xdr:row>0</xdr:row>
      <xdr:rowOff>78552</xdr:rowOff>
    </xdr:from>
    <xdr:to>
      <xdr:col>4</xdr:col>
      <xdr:colOff>231815</xdr:colOff>
      <xdr:row>4</xdr:row>
      <xdr:rowOff>25421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EA20421-F7F5-DF42-5BDC-725212C34738}"/>
            </a:ext>
          </a:extLst>
        </xdr:cNvPr>
        <xdr:cNvGrpSpPr/>
      </xdr:nvGrpSpPr>
      <xdr:grpSpPr>
        <a:xfrm>
          <a:off x="1237453" y="78552"/>
          <a:ext cx="2531312" cy="683469"/>
          <a:chOff x="532603" y="91252"/>
          <a:chExt cx="2531312" cy="683469"/>
        </a:xfrm>
      </xdr:grpSpPr>
      <xdr:pic>
        <xdr:nvPicPr>
          <xdr:cNvPr id="3" name="Picture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1590F75-A542-157F-DDCF-C0C9881EFC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tretch>
            <a:fillRect/>
          </a:stretch>
        </xdr:blipFill>
        <xdr:spPr>
          <a:xfrm>
            <a:off x="532603" y="91252"/>
            <a:ext cx="610397" cy="60506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425E2B0-34D7-2DFF-6EBD-13E28A6E5587}"/>
              </a:ext>
            </a:extLst>
          </xdr:cNvPr>
          <xdr:cNvSpPr/>
        </xdr:nvSpPr>
        <xdr:spPr>
          <a:xfrm>
            <a:off x="1231900" y="290999"/>
            <a:ext cx="1832015" cy="4837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GB" sz="25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DASHBOARD</a:t>
            </a:r>
          </a:p>
        </xdr:txBody>
      </xdr:sp>
    </xdr:grpSp>
    <xdr:clientData/>
  </xdr:twoCellAnchor>
  <xdr:twoCellAnchor editAs="oneCell">
    <xdr:from>
      <xdr:col>1</xdr:col>
      <xdr:colOff>133350</xdr:colOff>
      <xdr:row>0</xdr:row>
      <xdr:rowOff>114300</xdr:rowOff>
    </xdr:from>
    <xdr:to>
      <xdr:col>1</xdr:col>
      <xdr:colOff>685800</xdr:colOff>
      <xdr:row>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F95D28-792C-450D-A4AD-D7F03E94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" y="114300"/>
          <a:ext cx="552450" cy="552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</xdr:col>
      <xdr:colOff>169266</xdr:colOff>
      <xdr:row>2</xdr:row>
      <xdr:rowOff>139389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6EE03-9C58-40D0-AD36-2B3222BFD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685800" y="184150"/>
          <a:ext cx="512166" cy="507689"/>
        </a:xfrm>
        <a:prstGeom prst="rect">
          <a:avLst/>
        </a:prstGeom>
      </xdr:spPr>
    </xdr:pic>
    <xdr:clientData/>
  </xdr:twoCellAnchor>
  <xdr:oneCellAnchor>
    <xdr:from>
      <xdr:col>2</xdr:col>
      <xdr:colOff>107950</xdr:colOff>
      <xdr:row>0</xdr:row>
      <xdr:rowOff>50800</xdr:rowOff>
    </xdr:from>
    <xdr:ext cx="2089150" cy="48372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1A85BE-00D3-4F2D-97DA-A751629FDD57}"/>
            </a:ext>
          </a:extLst>
        </xdr:cNvPr>
        <xdr:cNvSpPr/>
      </xdr:nvSpPr>
      <xdr:spPr>
        <a:xfrm>
          <a:off x="1136650" y="234950"/>
          <a:ext cx="2089150" cy="48372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25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DASHBOARD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W83"/>
  <sheetViews>
    <sheetView topLeftCell="A31" workbookViewId="0">
      <selection activeCell="L34" sqref="L34:N34"/>
    </sheetView>
  </sheetViews>
  <sheetFormatPr defaultRowHeight="14.5" x14ac:dyDescent="0.35"/>
  <cols>
    <col min="1" max="1" width="1.1796875" customWidth="1"/>
    <col min="2" max="2" width="1.1796875" style="13" customWidth="1"/>
    <col min="3" max="3" width="19.6328125" customWidth="1"/>
    <col min="4" max="4" width="13.08984375" style="7" customWidth="1"/>
    <col min="5" max="5" width="10.08984375" style="7" customWidth="1"/>
    <col min="6" max="6" width="20" customWidth="1"/>
    <col min="7" max="7" width="11.54296875" style="7" customWidth="1"/>
    <col min="8" max="8" width="10.1796875" style="7" customWidth="1"/>
    <col min="9" max="9" width="19" style="10" customWidth="1"/>
    <col min="10" max="10" width="10.26953125" customWidth="1"/>
    <col min="11" max="11" width="11.36328125" style="13" customWidth="1"/>
    <col min="12" max="12" width="18.1796875" style="13" customWidth="1"/>
    <col min="13" max="13" width="10" style="13" customWidth="1"/>
    <col min="14" max="14" width="12.453125" style="13" customWidth="1"/>
    <col min="15" max="23" width="8.7265625" style="13"/>
  </cols>
  <sheetData>
    <row r="1" spans="1:13" x14ac:dyDescent="0.35">
      <c r="A1" s="13"/>
      <c r="C1" s="13"/>
      <c r="D1" s="14"/>
      <c r="E1" s="14"/>
      <c r="F1" s="13"/>
      <c r="G1" s="14"/>
      <c r="H1" s="14"/>
      <c r="I1" s="94"/>
      <c r="J1" s="13"/>
    </row>
    <row r="2" spans="1:13" ht="21" x14ac:dyDescent="0.35">
      <c r="A2" s="13"/>
      <c r="B2" s="181" t="s">
        <v>548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</row>
    <row r="3" spans="1:13" ht="18.5" x14ac:dyDescent="0.35">
      <c r="A3" s="13"/>
      <c r="B3" s="182" t="s">
        <v>549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</row>
    <row r="4" spans="1:13" s="13" customFormat="1" x14ac:dyDescent="0.35">
      <c r="D4" s="14"/>
      <c r="E4" s="14"/>
      <c r="G4" s="14"/>
      <c r="H4" s="14"/>
      <c r="I4" s="94"/>
    </row>
    <row r="5" spans="1:13" x14ac:dyDescent="0.35">
      <c r="A5" s="13"/>
      <c r="C5" s="13"/>
      <c r="D5" s="14"/>
      <c r="E5" s="14"/>
      <c r="F5" s="13"/>
      <c r="G5" s="14"/>
      <c r="H5" s="14"/>
      <c r="I5" s="94"/>
      <c r="J5" s="13"/>
    </row>
    <row r="6" spans="1:13" x14ac:dyDescent="0.35">
      <c r="A6" s="13"/>
      <c r="C6" s="13"/>
      <c r="D6" s="14"/>
      <c r="E6" s="14"/>
      <c r="F6" s="13"/>
      <c r="G6" s="14"/>
      <c r="H6" s="14"/>
      <c r="I6" s="94"/>
      <c r="J6" s="13"/>
    </row>
    <row r="7" spans="1:13" x14ac:dyDescent="0.35">
      <c r="A7" s="13"/>
      <c r="C7" s="13"/>
      <c r="D7" s="14"/>
      <c r="E7" s="14"/>
      <c r="F7" s="13"/>
      <c r="G7" s="14"/>
      <c r="H7" s="14"/>
      <c r="I7" s="94"/>
      <c r="J7" s="13"/>
    </row>
    <row r="8" spans="1:13" x14ac:dyDescent="0.35">
      <c r="A8" s="13"/>
      <c r="C8" s="13"/>
      <c r="D8" s="14"/>
      <c r="E8" s="14"/>
      <c r="F8" s="13"/>
      <c r="G8" s="14"/>
      <c r="H8" s="14"/>
      <c r="I8" s="94"/>
      <c r="J8" s="13"/>
    </row>
    <row r="9" spans="1:13" x14ac:dyDescent="0.35">
      <c r="A9" s="13"/>
      <c r="C9" s="13"/>
      <c r="D9" s="14"/>
      <c r="E9" s="14"/>
      <c r="F9" s="13"/>
      <c r="G9" s="14"/>
      <c r="H9" s="14"/>
      <c r="I9" s="94"/>
      <c r="J9" s="13"/>
    </row>
    <row r="10" spans="1:13" x14ac:dyDescent="0.35">
      <c r="A10" s="13"/>
      <c r="B10" s="49"/>
      <c r="C10" s="49"/>
      <c r="D10" s="49"/>
      <c r="E10" s="14"/>
      <c r="F10" s="13"/>
      <c r="G10" s="14"/>
      <c r="H10" s="14"/>
      <c r="I10" s="94"/>
      <c r="J10" s="13"/>
    </row>
    <row r="11" spans="1:13" x14ac:dyDescent="0.35">
      <c r="A11" s="13"/>
      <c r="B11" s="149"/>
      <c r="C11" s="149"/>
      <c r="D11" s="49"/>
      <c r="E11" s="14"/>
      <c r="F11" s="13"/>
      <c r="G11" s="14"/>
      <c r="H11" s="14"/>
      <c r="I11" s="94"/>
      <c r="J11" s="13"/>
    </row>
    <row r="12" spans="1:13" x14ac:dyDescent="0.35">
      <c r="A12" s="13"/>
      <c r="C12" s="13"/>
      <c r="D12" s="14"/>
      <c r="E12" s="14"/>
      <c r="F12" s="13"/>
      <c r="G12" s="14"/>
      <c r="H12" s="14"/>
      <c r="I12" s="94"/>
      <c r="J12" s="13"/>
    </row>
    <row r="13" spans="1:13" ht="17.5" x14ac:dyDescent="0.35">
      <c r="A13" s="13"/>
      <c r="C13" s="115" t="s">
        <v>605</v>
      </c>
      <c r="D13" s="14"/>
      <c r="E13" s="14"/>
      <c r="F13" s="13"/>
      <c r="G13" s="14"/>
      <c r="H13" s="14"/>
      <c r="I13" s="94"/>
      <c r="J13" s="13"/>
    </row>
    <row r="14" spans="1:13" x14ac:dyDescent="0.35">
      <c r="A14" s="13"/>
      <c r="B14" s="149"/>
      <c r="C14" s="149"/>
      <c r="D14" s="14"/>
      <c r="E14" s="14"/>
      <c r="F14" s="13"/>
      <c r="G14" s="14"/>
      <c r="H14" s="14"/>
      <c r="I14" s="94"/>
      <c r="J14" s="13"/>
      <c r="L14" s="149" t="s">
        <v>607</v>
      </c>
      <c r="M14" s="149"/>
    </row>
    <row r="15" spans="1:13" x14ac:dyDescent="0.35">
      <c r="A15" s="13"/>
      <c r="B15" s="189"/>
      <c r="C15" s="189"/>
      <c r="D15" s="14"/>
      <c r="E15" s="14"/>
      <c r="F15" s="13"/>
      <c r="G15" s="14"/>
      <c r="H15" s="14"/>
      <c r="I15" s="94"/>
      <c r="J15" s="13"/>
      <c r="L15" s="149" t="s">
        <v>550</v>
      </c>
      <c r="M15" s="149"/>
    </row>
    <row r="16" spans="1:13" s="13" customFormat="1" ht="18.5" customHeight="1" x14ac:dyDescent="0.35">
      <c r="D16" s="14"/>
      <c r="E16" s="14"/>
      <c r="G16" s="14"/>
      <c r="H16" s="14"/>
      <c r="I16" s="94"/>
    </row>
    <row r="17" spans="1:14" ht="30" customHeight="1" x14ac:dyDescent="0.35">
      <c r="A17" s="13"/>
      <c r="C17" s="159"/>
      <c r="D17" s="160"/>
      <c r="E17" s="160"/>
      <c r="F17" s="160"/>
      <c r="G17" s="160"/>
      <c r="H17" s="160"/>
      <c r="I17" s="160"/>
      <c r="J17" s="160"/>
    </row>
    <row r="18" spans="1:14" ht="30" customHeight="1" x14ac:dyDescent="0.35">
      <c r="A18" s="13"/>
      <c r="C18" s="171"/>
      <c r="D18" s="171"/>
      <c r="E18" s="171"/>
      <c r="F18" s="171"/>
      <c r="G18" s="171"/>
      <c r="H18" s="171"/>
      <c r="I18" s="171"/>
      <c r="J18" s="171"/>
    </row>
    <row r="19" spans="1:14" ht="15" thickBot="1" x14ac:dyDescent="0.4">
      <c r="A19" s="13"/>
      <c r="C19" s="13"/>
      <c r="D19" s="14"/>
      <c r="E19" s="14"/>
      <c r="F19" s="13"/>
      <c r="G19" s="14"/>
      <c r="H19" s="14"/>
      <c r="I19" s="94"/>
      <c r="J19" s="13"/>
    </row>
    <row r="20" spans="1:14" ht="24" customHeight="1" thickBot="1" x14ac:dyDescent="0.4">
      <c r="A20" s="13"/>
      <c r="C20" s="177" t="s">
        <v>0</v>
      </c>
      <c r="D20" s="178"/>
      <c r="E20" s="169" t="s">
        <v>1</v>
      </c>
      <c r="F20" s="170"/>
      <c r="G20" s="192" t="s">
        <v>2</v>
      </c>
      <c r="H20" s="193"/>
      <c r="I20" s="179" t="s">
        <v>3</v>
      </c>
      <c r="J20" s="170"/>
      <c r="K20" s="96"/>
      <c r="L20" s="97"/>
      <c r="M20" s="97"/>
      <c r="N20" s="98"/>
    </row>
    <row r="21" spans="1:14" ht="24" customHeight="1" thickBot="1" x14ac:dyDescent="0.4">
      <c r="A21" s="13"/>
      <c r="C21" s="172">
        <f>COUNTA('MASTER PLAN'!D7:D203)</f>
        <v>31</v>
      </c>
      <c r="D21" s="174"/>
      <c r="E21" s="172">
        <f>COUNTIF('MASTER PLAN'!L7:L203,"Selesai")</f>
        <v>0</v>
      </c>
      <c r="F21" s="173"/>
      <c r="G21" s="172">
        <f>COUNTIF('MASTER PLAN'!L7:L203,"Berjalan")</f>
        <v>1</v>
      </c>
      <c r="H21" s="176"/>
      <c r="I21" s="175">
        <f>COUNTIF('MASTER PLAN'!L7:L203,"Terlambat")</f>
        <v>0</v>
      </c>
      <c r="J21" s="173"/>
      <c r="K21" s="90"/>
      <c r="L21" s="91"/>
      <c r="M21" s="91"/>
      <c r="N21" s="92"/>
    </row>
    <row r="22" spans="1:14" ht="15" thickBot="1" x14ac:dyDescent="0.4">
      <c r="A22" s="13"/>
      <c r="C22" s="18"/>
      <c r="D22" s="11"/>
      <c r="E22" s="11"/>
      <c r="F22" s="18"/>
      <c r="G22" s="11"/>
      <c r="H22" s="11"/>
      <c r="I22" s="18"/>
      <c r="J22" s="18"/>
      <c r="K22" s="12"/>
      <c r="L22" s="12"/>
      <c r="M22" s="12"/>
      <c r="N22" s="12"/>
    </row>
    <row r="23" spans="1:14" ht="21" customHeight="1" thickBot="1" x14ac:dyDescent="0.4">
      <c r="A23" s="13"/>
      <c r="C23" s="163" t="s">
        <v>4</v>
      </c>
      <c r="D23" s="164"/>
      <c r="E23" s="167" t="s">
        <v>5</v>
      </c>
      <c r="F23" s="168"/>
      <c r="G23" s="165" t="s">
        <v>6</v>
      </c>
      <c r="H23" s="166"/>
      <c r="I23" s="196" t="s">
        <v>7</v>
      </c>
      <c r="J23" s="168"/>
      <c r="K23" s="99"/>
      <c r="L23" s="100"/>
      <c r="M23" s="100"/>
      <c r="N23" s="101"/>
    </row>
    <row r="24" spans="1:14" ht="21" customHeight="1" thickBot="1" x14ac:dyDescent="0.4">
      <c r="A24" s="13"/>
      <c r="C24" s="147">
        <f>COUNTA('CHECKLIST DOK'!C8:C204)</f>
        <v>60</v>
      </c>
      <c r="D24" s="161"/>
      <c r="E24" s="147">
        <f>COUNTIF('CHECKLIST DOK'!H8:H204,"Lengkap")</f>
        <v>0</v>
      </c>
      <c r="F24" s="148"/>
      <c r="G24" s="194">
        <f>COUNTIF('CHECKLIST DOK'!H8:H204,"Perlu Revisi")</f>
        <v>0</v>
      </c>
      <c r="H24" s="195"/>
      <c r="I24" s="162">
        <f>IF(C24=0,0,E24/C24)</f>
        <v>0</v>
      </c>
      <c r="J24" s="148"/>
      <c r="K24" s="90"/>
      <c r="L24" s="91"/>
      <c r="M24" s="91"/>
      <c r="N24" s="92"/>
    </row>
    <row r="25" spans="1:14" x14ac:dyDescent="0.35">
      <c r="A25" s="13"/>
      <c r="C25" s="12"/>
      <c r="D25" s="11"/>
      <c r="E25" s="11"/>
      <c r="F25" s="12"/>
      <c r="G25" s="11"/>
      <c r="H25" s="11"/>
      <c r="I25" s="18"/>
      <c r="J25" s="12"/>
      <c r="K25" s="12"/>
      <c r="L25" s="12" t="s">
        <v>559</v>
      </c>
      <c r="M25" s="12"/>
      <c r="N25" s="12"/>
    </row>
    <row r="26" spans="1:14" x14ac:dyDescent="0.35">
      <c r="A26" s="13"/>
      <c r="C26" s="152" t="s">
        <v>8</v>
      </c>
      <c r="D26" s="152"/>
      <c r="E26" s="152" t="s">
        <v>9</v>
      </c>
      <c r="F26" s="152"/>
      <c r="G26" s="152"/>
      <c r="H26" s="152"/>
      <c r="I26" s="154" t="s">
        <v>563</v>
      </c>
      <c r="J26" s="155"/>
      <c r="K26" s="155"/>
      <c r="L26" s="155"/>
      <c r="M26" s="155"/>
      <c r="N26" s="156"/>
    </row>
    <row r="27" spans="1:14" ht="43.5" customHeight="1" x14ac:dyDescent="0.35">
      <c r="A27" s="13"/>
      <c r="C27" s="19" t="s">
        <v>10</v>
      </c>
      <c r="D27" s="19" t="s">
        <v>11</v>
      </c>
      <c r="E27" s="153" t="s">
        <v>12</v>
      </c>
      <c r="F27" s="153"/>
      <c r="G27" s="19" t="s">
        <v>13</v>
      </c>
      <c r="H27" s="19" t="s">
        <v>14</v>
      </c>
      <c r="I27" s="135" t="s">
        <v>564</v>
      </c>
      <c r="J27" s="82" t="s">
        <v>573</v>
      </c>
      <c r="K27" s="82" t="s">
        <v>565</v>
      </c>
      <c r="L27" s="128" t="s">
        <v>564</v>
      </c>
      <c r="M27" s="82" t="s">
        <v>573</v>
      </c>
      <c r="N27" s="82" t="s">
        <v>565</v>
      </c>
    </row>
    <row r="28" spans="1:14" ht="28" x14ac:dyDescent="0.35">
      <c r="A28" s="13"/>
      <c r="C28" s="125" t="s">
        <v>15</v>
      </c>
      <c r="D28" s="124">
        <f>COUNTIF('MASTER PLAN'!L7:L203,"Belum Mulai")</f>
        <v>30</v>
      </c>
      <c r="E28" s="150" t="s">
        <v>16</v>
      </c>
      <c r="F28" s="151"/>
      <c r="G28" s="123">
        <f>COUNTIF('CHECKLIST DOK'!C:C,E28)</f>
        <v>19</v>
      </c>
      <c r="H28" s="123">
        <f>COUNTIFS('CHECKLIST DOK'!C:C,E28,'CHECKLIST DOK'!H:H,"Lengkap")</f>
        <v>0</v>
      </c>
      <c r="I28" s="125" t="s">
        <v>566</v>
      </c>
      <c r="J28" s="131"/>
      <c r="K28" s="131"/>
      <c r="L28" s="85" t="s">
        <v>575</v>
      </c>
      <c r="M28" s="50"/>
      <c r="N28" s="50"/>
    </row>
    <row r="29" spans="1:14" ht="28" x14ac:dyDescent="0.35">
      <c r="A29" s="13"/>
      <c r="C29" s="125" t="s">
        <v>17</v>
      </c>
      <c r="D29" s="124">
        <f>COUNTIF('MASTER PLAN'!L7:L203,"Berjalan")</f>
        <v>1</v>
      </c>
      <c r="E29" s="150" t="s">
        <v>18</v>
      </c>
      <c r="F29" s="151"/>
      <c r="G29" s="123">
        <f>COUNTIF('CHECKLIST DOK'!C:C,E29)</f>
        <v>21</v>
      </c>
      <c r="H29" s="123">
        <f>COUNTIFS('CHECKLIST DOK'!C:C,E29,'CHECKLIST DOK'!H:H,"Lengkap")</f>
        <v>0</v>
      </c>
      <c r="I29" s="126" t="s">
        <v>567</v>
      </c>
      <c r="J29" s="131"/>
      <c r="K29" s="131"/>
      <c r="L29" s="85" t="s">
        <v>571</v>
      </c>
      <c r="M29" s="50"/>
      <c r="N29" s="50"/>
    </row>
    <row r="30" spans="1:14" x14ac:dyDescent="0.35">
      <c r="A30" s="13"/>
      <c r="C30" s="125" t="s">
        <v>19</v>
      </c>
      <c r="D30" s="124">
        <f>COUNTIF('MASTER PLAN'!L7:L203,"Selesai")</f>
        <v>0</v>
      </c>
      <c r="E30" s="150" t="s">
        <v>20</v>
      </c>
      <c r="F30" s="151"/>
      <c r="G30" s="123">
        <f>COUNTIF('CHECKLIST DOK'!C:C,E30)</f>
        <v>19</v>
      </c>
      <c r="H30" s="123">
        <f>COUNTIFS('CHECKLIST DOK'!C:C,E30,'CHECKLIST DOK'!H:H,"Lengkap")</f>
        <v>0</v>
      </c>
      <c r="I30" s="126" t="s">
        <v>568</v>
      </c>
      <c r="J30" s="131"/>
      <c r="K30" s="131"/>
      <c r="L30" s="86" t="s">
        <v>574</v>
      </c>
      <c r="M30" s="50"/>
      <c r="N30" s="50"/>
    </row>
    <row r="31" spans="1:14" ht="42" x14ac:dyDescent="0.35">
      <c r="A31" s="13"/>
      <c r="C31" s="125" t="s">
        <v>3</v>
      </c>
      <c r="D31" s="124">
        <f>COUNTIF('MASTER PLAN'!L7:L203,"Terlambat")</f>
        <v>0</v>
      </c>
      <c r="E31" s="150" t="s">
        <v>21</v>
      </c>
      <c r="F31" s="151"/>
      <c r="G31" s="123">
        <f>COUNTIF('CHECKLIST DOK'!C:C,E31)</f>
        <v>1</v>
      </c>
      <c r="H31" s="123">
        <f>COUNTIFS('CHECKLIST DOK'!C:C,E31,'CHECKLIST DOK'!H:H,"Lengkap")</f>
        <v>0</v>
      </c>
      <c r="I31" s="85" t="s">
        <v>570</v>
      </c>
      <c r="J31" s="131"/>
      <c r="K31" s="131"/>
      <c r="L31" s="85" t="s">
        <v>572</v>
      </c>
      <c r="M31" s="50"/>
      <c r="N31" s="50"/>
    </row>
    <row r="32" spans="1:14" ht="28" x14ac:dyDescent="0.35">
      <c r="A32" s="13"/>
      <c r="C32" s="132"/>
      <c r="D32" s="132"/>
      <c r="E32" s="133"/>
      <c r="F32" s="133"/>
      <c r="G32" s="134"/>
      <c r="H32" s="134"/>
      <c r="I32" s="127" t="s">
        <v>569</v>
      </c>
      <c r="J32" s="131"/>
      <c r="K32" s="131"/>
      <c r="L32" s="85" t="s">
        <v>576</v>
      </c>
      <c r="M32" s="50"/>
      <c r="N32" s="50"/>
    </row>
    <row r="33" spans="1:23" x14ac:dyDescent="0.35">
      <c r="A33" s="13"/>
      <c r="C33" s="12"/>
      <c r="D33" s="11"/>
      <c r="E33" s="11"/>
      <c r="F33" s="12"/>
      <c r="G33" s="11"/>
      <c r="H33" s="11"/>
      <c r="I33" s="130"/>
      <c r="J33" s="12"/>
      <c r="K33" s="12"/>
      <c r="L33" s="12"/>
      <c r="M33" s="12"/>
      <c r="N33" s="12"/>
    </row>
    <row r="34" spans="1:23" s="84" customFormat="1" ht="27.5" customHeight="1" x14ac:dyDescent="0.35">
      <c r="A34" s="95"/>
      <c r="B34" s="95"/>
      <c r="C34" s="190" t="s">
        <v>579</v>
      </c>
      <c r="D34" s="191"/>
      <c r="E34" s="191"/>
      <c r="F34" s="185" t="s">
        <v>578</v>
      </c>
      <c r="G34" s="186"/>
      <c r="H34" s="186"/>
      <c r="I34" s="187" t="s">
        <v>577</v>
      </c>
      <c r="J34" s="188"/>
      <c r="K34" s="188"/>
      <c r="L34" s="183" t="s">
        <v>580</v>
      </c>
      <c r="M34" s="184"/>
      <c r="N34" s="184"/>
      <c r="O34" s="95"/>
      <c r="P34" s="95"/>
      <c r="Q34" s="95"/>
      <c r="R34" s="95"/>
      <c r="S34" s="95"/>
      <c r="T34" s="95"/>
      <c r="U34" s="95"/>
      <c r="V34" s="95"/>
      <c r="W34" s="95"/>
    </row>
    <row r="35" spans="1:23" ht="33" customHeight="1" x14ac:dyDescent="0.35">
      <c r="A35" s="13"/>
      <c r="C35" s="103" t="s">
        <v>22</v>
      </c>
      <c r="D35" s="103" t="s">
        <v>23</v>
      </c>
      <c r="E35" s="103" t="s">
        <v>14</v>
      </c>
      <c r="F35" s="88" t="s">
        <v>22</v>
      </c>
      <c r="G35" s="88" t="s">
        <v>23</v>
      </c>
      <c r="H35" s="88" t="s">
        <v>14</v>
      </c>
      <c r="I35" s="89" t="s">
        <v>22</v>
      </c>
      <c r="J35" s="89" t="s">
        <v>23</v>
      </c>
      <c r="K35" s="89" t="s">
        <v>14</v>
      </c>
      <c r="L35" s="93" t="s">
        <v>22</v>
      </c>
      <c r="M35" s="93" t="s">
        <v>23</v>
      </c>
      <c r="N35" s="93" t="s">
        <v>14</v>
      </c>
    </row>
    <row r="36" spans="1:23" s="15" customFormat="1" ht="28" x14ac:dyDescent="0.35">
      <c r="A36" s="108"/>
      <c r="B36" s="108"/>
      <c r="C36" s="114" t="s">
        <v>582</v>
      </c>
      <c r="D36" s="109">
        <f>COUNTIF('CHECKLIST DOK'!G:G,C36)</f>
        <v>0</v>
      </c>
      <c r="E36" s="109">
        <f>COUNTIFS('CHECKLIST DOK'!G:G,C36,'CHECKLIST DOK'!H:H,"Lengkap")</f>
        <v>0</v>
      </c>
      <c r="F36" s="111" t="s">
        <v>588</v>
      </c>
      <c r="G36" s="110">
        <f>COUNTIF('CHECKLIST DOK'!G:G,F36)</f>
        <v>0</v>
      </c>
      <c r="H36" s="110">
        <f>COUNTIFS('CHECKLIST DOK'!G:G,F36,'CHECKLIST DOK'!H:H,"Lengkap")</f>
        <v>0</v>
      </c>
      <c r="I36" s="113" t="s">
        <v>594</v>
      </c>
      <c r="J36" s="119">
        <f>COUNTIF('CHECKLIST DOK'!G:G,I36)</f>
        <v>0</v>
      </c>
      <c r="K36" s="119">
        <f>COUNTIFS('CHECKLIST DOK'!G:G,I36,'CHECKLIST DOK'!H:H,"Lengkap")</f>
        <v>0</v>
      </c>
      <c r="L36" s="116" t="s">
        <v>601</v>
      </c>
      <c r="M36" s="120">
        <f>COUNTIF('CHECKLIST DOK'!G:G,L36)</f>
        <v>0</v>
      </c>
      <c r="N36" s="120">
        <f>COUNTIFS('CHECKLIST DOK'!G:G,L36,'CHECKLIST DOK'!H:H,"Lengkap")</f>
        <v>0</v>
      </c>
      <c r="O36" s="108"/>
      <c r="P36" s="108"/>
      <c r="Q36" s="108"/>
      <c r="R36" s="108"/>
      <c r="S36" s="108"/>
      <c r="T36" s="108"/>
      <c r="U36" s="108"/>
      <c r="V36" s="108"/>
      <c r="W36" s="108"/>
    </row>
    <row r="37" spans="1:23" s="15" customFormat="1" ht="28" x14ac:dyDescent="0.35">
      <c r="A37" s="108"/>
      <c r="B37" s="108"/>
      <c r="C37" s="114" t="s">
        <v>583</v>
      </c>
      <c r="D37" s="109">
        <f>COUNTIF('CHECKLIST DOK'!G:G,C37)</f>
        <v>0</v>
      </c>
      <c r="E37" s="109">
        <f>COUNTIFS('CHECKLIST DOK'!G:G,C37,'CHECKLIST DOK'!H:H,"Lengkap")</f>
        <v>0</v>
      </c>
      <c r="F37" s="112" t="s">
        <v>589</v>
      </c>
      <c r="G37" s="110">
        <f>COUNTIF('CHECKLIST DOK'!G:G,F37)</f>
        <v>0</v>
      </c>
      <c r="H37" s="110">
        <f>COUNTIFS('CHECKLIST DOK'!G:G,F37,'CHECKLIST DOK'!H:H,"Lengkap")</f>
        <v>0</v>
      </c>
      <c r="I37" s="113" t="s">
        <v>595</v>
      </c>
      <c r="J37" s="119">
        <f>COUNTIF('CHECKLIST DOK'!G:G,I37)</f>
        <v>0</v>
      </c>
      <c r="K37" s="119">
        <f>COUNTIFS('CHECKLIST DOK'!G:G,I37,'CHECKLIST DOK'!H:H,"Lengkap")</f>
        <v>0</v>
      </c>
      <c r="L37" s="116" t="s">
        <v>602</v>
      </c>
      <c r="M37" s="120">
        <f>COUNTIF('CHECKLIST DOK'!G:G,L37)</f>
        <v>0</v>
      </c>
      <c r="N37" s="120">
        <f>COUNTIFS('CHECKLIST DOK'!G:G,L37,'CHECKLIST DOK'!H:H,"Lengkap")</f>
        <v>0</v>
      </c>
      <c r="O37" s="108"/>
      <c r="P37" s="108"/>
      <c r="Q37" s="108"/>
      <c r="R37" s="108"/>
      <c r="S37" s="108"/>
      <c r="T37" s="108"/>
      <c r="U37" s="108"/>
      <c r="V37" s="108"/>
      <c r="W37" s="108"/>
    </row>
    <row r="38" spans="1:23" s="15" customFormat="1" ht="28" x14ac:dyDescent="0.35">
      <c r="A38" s="108"/>
      <c r="B38" s="108"/>
      <c r="C38" s="114" t="s">
        <v>584</v>
      </c>
      <c r="D38" s="109">
        <f>COUNTIF('CHECKLIST DOK'!G:G,C38)</f>
        <v>0</v>
      </c>
      <c r="E38" s="109">
        <f>COUNTIFS('CHECKLIST DOK'!G:G,C38,'CHECKLIST DOK'!H:H,"Lengkap")</f>
        <v>0</v>
      </c>
      <c r="F38" s="111" t="s">
        <v>590</v>
      </c>
      <c r="G38" s="110">
        <f>COUNTIF('CHECKLIST DOK'!G:G,F38)</f>
        <v>0</v>
      </c>
      <c r="H38" s="110">
        <f>COUNTIFS('CHECKLIST DOK'!G:G,F38,'CHECKLIST DOK'!H:H,"Lengkap")</f>
        <v>0</v>
      </c>
      <c r="I38" s="113" t="s">
        <v>596</v>
      </c>
      <c r="J38" s="119">
        <f>COUNTIF('CHECKLIST DOK'!G:G,I38)</f>
        <v>0</v>
      </c>
      <c r="K38" s="119">
        <f>COUNTIFS('CHECKLIST DOK'!G:G,I38,'CHECKLIST DOK'!H:H,"Lengkap")</f>
        <v>0</v>
      </c>
      <c r="L38" s="116" t="s">
        <v>603</v>
      </c>
      <c r="M38" s="120">
        <f>COUNTIF('CHECKLIST DOK'!G:G,L38)</f>
        <v>0</v>
      </c>
      <c r="N38" s="120">
        <f>COUNTIFS('CHECKLIST DOK'!G:G,L38,'CHECKLIST DOK'!H:H,"Lengkap")</f>
        <v>0</v>
      </c>
      <c r="O38" s="108"/>
      <c r="P38" s="108"/>
      <c r="Q38" s="108"/>
      <c r="R38" s="108"/>
      <c r="S38" s="108"/>
      <c r="T38" s="108"/>
      <c r="U38" s="108"/>
      <c r="V38" s="108"/>
      <c r="W38" s="108"/>
    </row>
    <row r="39" spans="1:23" s="15" customFormat="1" ht="28" x14ac:dyDescent="0.35">
      <c r="A39" s="108"/>
      <c r="B39" s="108"/>
      <c r="C39" s="114" t="s">
        <v>585</v>
      </c>
      <c r="D39" s="109">
        <f>COUNTIF('CHECKLIST DOK'!G:G,C39)</f>
        <v>0</v>
      </c>
      <c r="E39" s="109">
        <f>COUNTIFS('CHECKLIST DOK'!G:G,C39,'CHECKLIST DOK'!H:H,"Lengkap")</f>
        <v>0</v>
      </c>
      <c r="F39" s="111" t="s">
        <v>591</v>
      </c>
      <c r="G39" s="110">
        <f>COUNTIF('CHECKLIST DOK'!G:G,F39)</f>
        <v>0</v>
      </c>
      <c r="H39" s="110">
        <f>COUNTIFS('CHECKLIST DOK'!G:G,F39,'CHECKLIST DOK'!H:H,"Lengkap")</f>
        <v>0</v>
      </c>
      <c r="I39" s="113" t="s">
        <v>597</v>
      </c>
      <c r="J39" s="119">
        <f>COUNTIF('CHECKLIST DOK'!G:G,I39)</f>
        <v>0</v>
      </c>
      <c r="K39" s="119">
        <f>COUNTIFS('CHECKLIST DOK'!G:G,I39,'CHECKLIST DOK'!H:H,"Lengkap")</f>
        <v>0</v>
      </c>
      <c r="L39" s="116" t="s">
        <v>604</v>
      </c>
      <c r="M39" s="120">
        <f>COUNTIF('CHECKLIST DOK'!G:G,L39)</f>
        <v>0</v>
      </c>
      <c r="N39" s="120">
        <f>COUNTIFS('CHECKLIST DOK'!G:G,L39,'CHECKLIST DOK'!H:H,"Lengkap")</f>
        <v>0</v>
      </c>
      <c r="O39" s="108"/>
      <c r="P39" s="108"/>
      <c r="Q39" s="108"/>
      <c r="R39" s="108"/>
      <c r="S39" s="108"/>
      <c r="T39" s="108"/>
      <c r="U39" s="108"/>
      <c r="V39" s="108"/>
      <c r="W39" s="108"/>
    </row>
    <row r="40" spans="1:23" s="15" customFormat="1" ht="28.5" x14ac:dyDescent="0.35">
      <c r="A40" s="108"/>
      <c r="B40" s="108"/>
      <c r="C40" s="114" t="s">
        <v>586</v>
      </c>
      <c r="D40" s="109">
        <f>COUNTIF('CHECKLIST DOK'!G:G,C40)</f>
        <v>0</v>
      </c>
      <c r="E40" s="109">
        <f>COUNTIFS('CHECKLIST DOK'!G:G,C40,'CHECKLIST DOK'!H:H,"Lengkap")</f>
        <v>0</v>
      </c>
      <c r="F40" s="111" t="s">
        <v>592</v>
      </c>
      <c r="G40" s="110">
        <f>COUNTIF('CHECKLIST DOK'!G:G,F40)</f>
        <v>0</v>
      </c>
      <c r="H40" s="110">
        <f>COUNTIFS('CHECKLIST DOK'!G:G,F40,'CHECKLIST DOK'!H:H,"Lengkap")</f>
        <v>0</v>
      </c>
      <c r="I40" s="113" t="s">
        <v>598</v>
      </c>
      <c r="J40" s="119">
        <f>COUNTIF('CHECKLIST DOK'!G:G,I40)</f>
        <v>0</v>
      </c>
      <c r="K40" s="119">
        <f>COUNTIFS('CHECKLIST DOK'!G:G,I40,'CHECKLIST DOK'!H:H,"Lengkap")</f>
        <v>0</v>
      </c>
      <c r="L40" s="117" t="s">
        <v>600</v>
      </c>
      <c r="M40" s="120">
        <f>COUNTIF('CHECKLIST DOK'!G:G,L40)</f>
        <v>0</v>
      </c>
      <c r="N40" s="120">
        <f>COUNTIFS('CHECKLIST DOK'!G:G,L40,'CHECKLIST DOK'!H:H,"Lengkap")</f>
        <v>0</v>
      </c>
      <c r="O40" s="108"/>
      <c r="P40" s="108"/>
      <c r="Q40" s="108"/>
      <c r="R40" s="108"/>
      <c r="S40" s="108"/>
      <c r="T40" s="108"/>
      <c r="U40" s="108"/>
      <c r="V40" s="108"/>
      <c r="W40" s="108"/>
    </row>
    <row r="41" spans="1:23" s="15" customFormat="1" ht="28.5" x14ac:dyDescent="0.35">
      <c r="A41" s="108"/>
      <c r="B41" s="108"/>
      <c r="C41" s="114" t="s">
        <v>581</v>
      </c>
      <c r="D41" s="109">
        <f>COUNTIF('CHECKLIST DOK'!G:G,C41)</f>
        <v>0</v>
      </c>
      <c r="E41" s="109">
        <f>COUNTIFS('CHECKLIST DOK'!G:G,C41,'CHECKLIST DOK'!H:H,"Lengkap")</f>
        <v>0</v>
      </c>
      <c r="F41" s="111" t="s">
        <v>587</v>
      </c>
      <c r="G41" s="110">
        <f>COUNTIF('CHECKLIST DOK'!G:G,F41)</f>
        <v>0</v>
      </c>
      <c r="H41" s="110">
        <f>COUNTIFS('CHECKLIST DOK'!G:G,F41,'CHECKLIST DOK'!H:H,"Lengkap")</f>
        <v>0</v>
      </c>
      <c r="I41" s="113" t="s">
        <v>599</v>
      </c>
      <c r="J41" s="119">
        <f>COUNTIF('CHECKLIST DOK'!G:G,I41)</f>
        <v>0</v>
      </c>
      <c r="K41" s="119">
        <f>COUNTIFS('CHECKLIST DOK'!G:G,I41,'CHECKLIST DOK'!H:H,"Lengkap")</f>
        <v>0</v>
      </c>
      <c r="L41" s="118" t="s">
        <v>606</v>
      </c>
      <c r="M41" s="120">
        <f>COUNTIF('CHECKLIST DOK'!G:G,L41)</f>
        <v>0</v>
      </c>
      <c r="N41" s="120">
        <f>COUNTIFS('CHECKLIST DOK'!G:G,L41,'CHECKLIST DOK'!H:H,"Lengkap")</f>
        <v>0</v>
      </c>
      <c r="O41" s="108"/>
      <c r="P41" s="108"/>
      <c r="Q41" s="108"/>
      <c r="R41" s="108"/>
      <c r="S41" s="108"/>
      <c r="T41" s="108"/>
      <c r="U41" s="108"/>
      <c r="V41" s="108"/>
      <c r="W41" s="108"/>
    </row>
    <row r="42" spans="1:23" ht="20" customHeight="1" x14ac:dyDescent="0.35">
      <c r="A42" s="13"/>
      <c r="C42" s="104"/>
      <c r="D42" s="83"/>
      <c r="E42" s="83"/>
      <c r="F42" s="215" t="s">
        <v>608</v>
      </c>
      <c r="G42" s="106"/>
      <c r="H42" s="106"/>
      <c r="I42" s="121" t="s">
        <v>593</v>
      </c>
      <c r="J42" s="119">
        <f>COUNTIF('CHECKLIST DOK'!G:G,I42)</f>
        <v>0</v>
      </c>
      <c r="K42" s="119">
        <f>COUNTIFS('CHECKLIST DOK'!G:G,I42,'CHECKLIST DOK'!H:H,"Lengkap")</f>
        <v>0</v>
      </c>
      <c r="L42" s="87"/>
      <c r="M42" s="87"/>
      <c r="N42" s="87"/>
    </row>
    <row r="43" spans="1:23" x14ac:dyDescent="0.35">
      <c r="A43" s="13"/>
      <c r="C43" s="104"/>
      <c r="D43" s="83"/>
      <c r="E43" s="105"/>
      <c r="F43" s="102"/>
      <c r="G43" s="106"/>
      <c r="H43" s="106"/>
      <c r="I43" s="122"/>
      <c r="J43" s="107"/>
      <c r="K43" s="107"/>
      <c r="L43" s="87"/>
      <c r="M43" s="87"/>
      <c r="N43" s="87"/>
    </row>
    <row r="44" spans="1:23" x14ac:dyDescent="0.35">
      <c r="A44" s="13"/>
      <c r="F44" s="129"/>
      <c r="G44" s="136"/>
      <c r="H44" s="137"/>
      <c r="I44" s="145"/>
      <c r="J44" s="146"/>
      <c r="K44"/>
      <c r="L44" s="7"/>
      <c r="M44" s="7"/>
      <c r="N44" s="129"/>
      <c r="O44" s="136"/>
      <c r="P44" s="137"/>
      <c r="Q44" s="145"/>
      <c r="R44" s="146"/>
    </row>
    <row r="45" spans="1:23" s="13" customFormat="1" x14ac:dyDescent="0.35">
      <c r="C45" s="158"/>
      <c r="D45" s="158"/>
      <c r="E45" s="158"/>
      <c r="F45" s="158"/>
      <c r="G45" s="158"/>
      <c r="H45" s="14"/>
      <c r="I45" s="94"/>
    </row>
    <row r="46" spans="1:23" s="13" customFormat="1" x14ac:dyDescent="0.35">
      <c r="C46" s="138"/>
      <c r="D46" s="139"/>
      <c r="E46" s="139"/>
      <c r="F46" s="157"/>
      <c r="G46" s="157"/>
      <c r="H46" s="14"/>
      <c r="I46" s="94"/>
    </row>
    <row r="47" spans="1:23" s="13" customFormat="1" x14ac:dyDescent="0.35">
      <c r="C47" s="140"/>
      <c r="D47" s="14"/>
      <c r="E47" s="14"/>
      <c r="F47" s="180"/>
      <c r="G47" s="180"/>
      <c r="H47" s="14"/>
      <c r="I47" s="94"/>
    </row>
    <row r="48" spans="1:23" s="13" customFormat="1" x14ac:dyDescent="0.35">
      <c r="C48" s="141"/>
      <c r="D48" s="142"/>
      <c r="E48" s="14"/>
      <c r="F48" s="180"/>
      <c r="G48" s="180"/>
      <c r="H48" s="14"/>
      <c r="I48" s="94"/>
    </row>
    <row r="49" spans="1:10" s="13" customFormat="1" x14ac:dyDescent="0.35">
      <c r="C49" s="141"/>
      <c r="D49" s="142"/>
      <c r="E49" s="14"/>
      <c r="F49" s="180"/>
      <c r="G49" s="180"/>
      <c r="H49" s="14"/>
      <c r="I49" s="94"/>
    </row>
    <row r="50" spans="1:10" s="13" customFormat="1" x14ac:dyDescent="0.35">
      <c r="C50" s="143"/>
      <c r="D50" s="142"/>
      <c r="E50" s="14"/>
      <c r="F50" s="180"/>
      <c r="G50" s="180"/>
      <c r="H50" s="14"/>
      <c r="I50" s="94"/>
    </row>
    <row r="51" spans="1:10" s="13" customFormat="1" x14ac:dyDescent="0.35">
      <c r="C51" s="141"/>
      <c r="D51" s="141"/>
      <c r="E51" s="14"/>
      <c r="F51" s="180"/>
      <c r="G51" s="180"/>
      <c r="H51" s="14"/>
      <c r="I51" s="94"/>
    </row>
    <row r="52" spans="1:10" s="13" customFormat="1" x14ac:dyDescent="0.35">
      <c r="C52" s="141"/>
      <c r="D52" s="141"/>
      <c r="E52" s="142"/>
      <c r="F52" s="180"/>
      <c r="G52" s="180"/>
      <c r="H52" s="14"/>
      <c r="I52" s="94"/>
    </row>
    <row r="53" spans="1:10" s="13" customFormat="1" x14ac:dyDescent="0.35">
      <c r="C53" s="141"/>
      <c r="D53" s="142"/>
      <c r="F53" s="180"/>
      <c r="G53" s="180"/>
      <c r="H53" s="14"/>
      <c r="I53" s="94"/>
    </row>
    <row r="54" spans="1:10" s="13" customFormat="1" x14ac:dyDescent="0.35">
      <c r="C54" s="144"/>
      <c r="D54" s="144"/>
      <c r="E54" s="142"/>
      <c r="F54" s="180"/>
      <c r="G54" s="180"/>
      <c r="H54" s="14"/>
      <c r="I54" s="94"/>
    </row>
    <row r="55" spans="1:10" s="13" customFormat="1" x14ac:dyDescent="0.35">
      <c r="C55" s="141"/>
      <c r="D55" s="144"/>
      <c r="E55" s="142"/>
      <c r="F55" s="180"/>
      <c r="G55" s="180"/>
      <c r="H55" s="14"/>
      <c r="I55" s="94"/>
    </row>
    <row r="56" spans="1:10" s="13" customFormat="1" x14ac:dyDescent="0.35">
      <c r="C56" s="141"/>
      <c r="D56" s="142"/>
      <c r="F56" s="180"/>
      <c r="G56" s="180"/>
      <c r="H56" s="14"/>
      <c r="I56" s="94"/>
    </row>
    <row r="57" spans="1:10" s="13" customFormat="1" x14ac:dyDescent="0.35">
      <c r="D57" s="14"/>
      <c r="E57" s="14"/>
      <c r="G57" s="14"/>
      <c r="H57" s="14"/>
      <c r="I57" s="94"/>
    </row>
    <row r="58" spans="1:10" s="13" customFormat="1" x14ac:dyDescent="0.35">
      <c r="D58" s="14"/>
      <c r="E58" s="14"/>
      <c r="G58" s="14"/>
      <c r="H58" s="14"/>
      <c r="I58" s="94"/>
    </row>
    <row r="59" spans="1:10" x14ac:dyDescent="0.35">
      <c r="A59" s="13"/>
      <c r="C59" s="13"/>
      <c r="D59" s="14"/>
      <c r="E59" s="14"/>
      <c r="F59" s="13"/>
      <c r="G59" s="14"/>
      <c r="H59" s="14"/>
      <c r="I59" s="94"/>
      <c r="J59" s="13"/>
    </row>
    <row r="60" spans="1:10" s="13" customFormat="1" x14ac:dyDescent="0.35">
      <c r="D60" s="14"/>
      <c r="E60" s="14"/>
      <c r="G60" s="14"/>
      <c r="H60" s="14"/>
      <c r="I60" s="94"/>
    </row>
    <row r="61" spans="1:10" s="13" customFormat="1" x14ac:dyDescent="0.35">
      <c r="D61" s="14"/>
      <c r="E61" s="14"/>
      <c r="G61" s="14"/>
      <c r="H61" s="14"/>
      <c r="I61" s="94"/>
    </row>
    <row r="62" spans="1:10" s="13" customFormat="1" x14ac:dyDescent="0.35">
      <c r="D62" s="14"/>
      <c r="E62" s="14"/>
      <c r="G62" s="14"/>
      <c r="H62" s="14"/>
      <c r="I62" s="94"/>
    </row>
    <row r="63" spans="1:10" s="13" customFormat="1" x14ac:dyDescent="0.35">
      <c r="D63" s="14"/>
      <c r="E63" s="14"/>
      <c r="G63" s="14"/>
      <c r="H63" s="14"/>
      <c r="I63" s="94"/>
    </row>
    <row r="64" spans="1:10" s="13" customFormat="1" x14ac:dyDescent="0.35">
      <c r="D64" s="14"/>
      <c r="E64" s="14"/>
      <c r="G64" s="14"/>
      <c r="H64" s="14"/>
      <c r="I64" s="94"/>
    </row>
    <row r="65" spans="4:9" s="13" customFormat="1" x14ac:dyDescent="0.35">
      <c r="D65" s="14"/>
      <c r="E65" s="14"/>
      <c r="G65" s="14"/>
      <c r="H65" s="14"/>
      <c r="I65" s="94"/>
    </row>
    <row r="66" spans="4:9" s="13" customFormat="1" x14ac:dyDescent="0.35">
      <c r="D66" s="14"/>
      <c r="E66" s="14"/>
      <c r="G66" s="14"/>
      <c r="H66" s="14"/>
      <c r="I66" s="94"/>
    </row>
    <row r="67" spans="4:9" s="13" customFormat="1" x14ac:dyDescent="0.35">
      <c r="D67" s="14"/>
      <c r="E67" s="14"/>
      <c r="G67" s="14"/>
      <c r="H67" s="14"/>
      <c r="I67" s="94"/>
    </row>
    <row r="68" spans="4:9" s="13" customFormat="1" x14ac:dyDescent="0.35">
      <c r="D68" s="14"/>
      <c r="E68" s="14"/>
      <c r="G68" s="14"/>
      <c r="H68" s="14"/>
      <c r="I68" s="94"/>
    </row>
    <row r="69" spans="4:9" s="13" customFormat="1" x14ac:dyDescent="0.35">
      <c r="D69" s="14"/>
      <c r="E69" s="14"/>
      <c r="G69" s="14"/>
      <c r="H69" s="14"/>
      <c r="I69" s="94"/>
    </row>
    <row r="70" spans="4:9" s="13" customFormat="1" x14ac:dyDescent="0.35">
      <c r="D70" s="14"/>
      <c r="E70" s="14"/>
      <c r="G70" s="14"/>
      <c r="H70" s="14"/>
      <c r="I70" s="94"/>
    </row>
    <row r="71" spans="4:9" s="13" customFormat="1" x14ac:dyDescent="0.35">
      <c r="D71" s="14"/>
      <c r="E71" s="14"/>
      <c r="G71" s="14"/>
      <c r="H71" s="14"/>
      <c r="I71" s="94"/>
    </row>
    <row r="72" spans="4:9" s="13" customFormat="1" x14ac:dyDescent="0.35">
      <c r="D72" s="14"/>
      <c r="E72" s="14"/>
      <c r="G72" s="14"/>
      <c r="H72" s="14"/>
      <c r="I72" s="94"/>
    </row>
    <row r="73" spans="4:9" s="13" customFormat="1" x14ac:dyDescent="0.35">
      <c r="D73" s="14"/>
      <c r="E73" s="14"/>
      <c r="G73" s="14"/>
      <c r="H73" s="14"/>
      <c r="I73" s="94"/>
    </row>
    <row r="74" spans="4:9" s="13" customFormat="1" x14ac:dyDescent="0.35">
      <c r="D74" s="14"/>
      <c r="E74" s="14"/>
      <c r="G74" s="14"/>
      <c r="H74" s="14"/>
      <c r="I74" s="94"/>
    </row>
    <row r="75" spans="4:9" s="13" customFormat="1" x14ac:dyDescent="0.35">
      <c r="D75" s="14"/>
      <c r="E75" s="14"/>
      <c r="G75" s="14"/>
      <c r="H75" s="14"/>
      <c r="I75" s="94"/>
    </row>
    <row r="76" spans="4:9" s="13" customFormat="1" x14ac:dyDescent="0.35">
      <c r="D76" s="14"/>
      <c r="E76" s="14"/>
      <c r="G76" s="14"/>
      <c r="H76" s="14"/>
      <c r="I76" s="94"/>
    </row>
    <row r="77" spans="4:9" s="13" customFormat="1" x14ac:dyDescent="0.35">
      <c r="D77" s="14"/>
      <c r="E77" s="14"/>
      <c r="G77" s="14"/>
      <c r="H77" s="14"/>
      <c r="I77" s="94"/>
    </row>
    <row r="78" spans="4:9" s="13" customFormat="1" x14ac:dyDescent="0.35">
      <c r="D78" s="14"/>
      <c r="E78" s="14"/>
      <c r="G78" s="14"/>
      <c r="H78" s="14"/>
      <c r="I78" s="94"/>
    </row>
    <row r="79" spans="4:9" s="13" customFormat="1" x14ac:dyDescent="0.35">
      <c r="D79" s="14"/>
      <c r="E79" s="14"/>
      <c r="G79" s="14"/>
      <c r="H79" s="14"/>
      <c r="I79" s="94"/>
    </row>
    <row r="80" spans="4:9" s="13" customFormat="1" x14ac:dyDescent="0.35">
      <c r="D80" s="14"/>
      <c r="E80" s="14"/>
      <c r="G80" s="14"/>
      <c r="H80" s="14"/>
      <c r="I80" s="94"/>
    </row>
    <row r="81" spans="4:9" s="13" customFormat="1" x14ac:dyDescent="0.35">
      <c r="D81" s="14"/>
      <c r="E81" s="14"/>
      <c r="G81" s="14"/>
      <c r="H81" s="14"/>
      <c r="I81" s="94"/>
    </row>
    <row r="82" spans="4:9" s="13" customFormat="1" x14ac:dyDescent="0.35">
      <c r="D82" s="14"/>
      <c r="E82" s="14"/>
      <c r="G82" s="14"/>
      <c r="H82" s="14"/>
      <c r="I82" s="94"/>
    </row>
    <row r="83" spans="4:9" s="13" customFormat="1" x14ac:dyDescent="0.35">
      <c r="D83" s="14"/>
      <c r="E83" s="14"/>
      <c r="G83" s="14"/>
      <c r="H83" s="14"/>
      <c r="I83" s="94"/>
    </row>
  </sheetData>
  <mergeCells count="51">
    <mergeCell ref="B2:M2"/>
    <mergeCell ref="B3:M3"/>
    <mergeCell ref="L15:M15"/>
    <mergeCell ref="L34:N34"/>
    <mergeCell ref="I44:J44"/>
    <mergeCell ref="F34:H34"/>
    <mergeCell ref="I34:K34"/>
    <mergeCell ref="B11:C11"/>
    <mergeCell ref="B15:C15"/>
    <mergeCell ref="B14:C14"/>
    <mergeCell ref="C34:E34"/>
    <mergeCell ref="C26:D26"/>
    <mergeCell ref="G20:H20"/>
    <mergeCell ref="G24:H24"/>
    <mergeCell ref="I23:J23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46:G46"/>
    <mergeCell ref="C45:G45"/>
    <mergeCell ref="C17:J17"/>
    <mergeCell ref="C24:D24"/>
    <mergeCell ref="I24:J24"/>
    <mergeCell ref="C23:D23"/>
    <mergeCell ref="G23:H23"/>
    <mergeCell ref="E23:F23"/>
    <mergeCell ref="E20:F20"/>
    <mergeCell ref="C18:J18"/>
    <mergeCell ref="E21:F21"/>
    <mergeCell ref="C21:D21"/>
    <mergeCell ref="I21:J21"/>
    <mergeCell ref="G21:H21"/>
    <mergeCell ref="C20:D20"/>
    <mergeCell ref="I20:J20"/>
    <mergeCell ref="Q44:R44"/>
    <mergeCell ref="E24:F24"/>
    <mergeCell ref="L14:M14"/>
    <mergeCell ref="E28:F28"/>
    <mergeCell ref="E31:F31"/>
    <mergeCell ref="E30:F30"/>
    <mergeCell ref="E29:F29"/>
    <mergeCell ref="E26:H26"/>
    <mergeCell ref="E27:F27"/>
    <mergeCell ref="I26:N2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52"/>
  <sheetViews>
    <sheetView showGridLines="0" workbookViewId="0">
      <pane xSplit="3" ySplit="6" topLeftCell="K7" activePane="bottomRight" state="frozen"/>
      <selection pane="topRight" activeCell="C1" sqref="C1"/>
      <selection pane="bottomLeft" activeCell="A5" sqref="A5"/>
      <selection pane="bottomRight" activeCell="N2" sqref="N2"/>
    </sheetView>
  </sheetViews>
  <sheetFormatPr defaultRowHeight="14.5" x14ac:dyDescent="0.35"/>
  <cols>
    <col min="1" max="1" width="6.26953125" style="21" customWidth="1"/>
    <col min="2" max="2" width="4.90625" customWidth="1"/>
    <col min="3" max="3" width="18.6328125" style="34" customWidth="1"/>
    <col min="4" max="4" width="40" customWidth="1"/>
    <col min="5" max="6" width="14" customWidth="1"/>
    <col min="7" max="8" width="13" customWidth="1"/>
    <col min="9" max="9" width="17.08984375" style="7" customWidth="1"/>
    <col min="10" max="11" width="32" customWidth="1"/>
    <col min="12" max="12" width="15" customWidth="1"/>
    <col min="13" max="13" width="12" customWidth="1"/>
    <col min="14" max="14" width="22" customWidth="1"/>
    <col min="15" max="15" width="24" customWidth="1"/>
    <col min="16" max="16" width="20" customWidth="1"/>
    <col min="17" max="17" width="12" customWidth="1"/>
    <col min="18" max="21" width="8.7265625" style="21"/>
  </cols>
  <sheetData>
    <row r="1" spans="1:21" s="21" customFormat="1" x14ac:dyDescent="0.35">
      <c r="C1" s="32"/>
      <c r="I1" s="22"/>
    </row>
    <row r="2" spans="1:21" s="21" customFormat="1" x14ac:dyDescent="0.35">
      <c r="C2" s="32"/>
      <c r="I2" s="22"/>
    </row>
    <row r="3" spans="1:21" s="21" customFormat="1" x14ac:dyDescent="0.35">
      <c r="C3" s="32"/>
      <c r="I3" s="22"/>
    </row>
    <row r="4" spans="1:21" ht="20.5" customHeight="1" x14ac:dyDescent="0.5">
      <c r="B4" s="197" t="s">
        <v>24</v>
      </c>
      <c r="C4" s="197"/>
      <c r="D4" s="197"/>
      <c r="E4" s="197"/>
      <c r="F4" s="197"/>
      <c r="G4" s="197"/>
      <c r="H4" s="197"/>
      <c r="I4" s="197"/>
      <c r="J4" s="197"/>
      <c r="K4" s="45"/>
      <c r="L4" s="45"/>
      <c r="M4" s="45"/>
      <c r="N4" s="45"/>
      <c r="O4" s="45"/>
      <c r="P4" s="45"/>
      <c r="Q4" s="45"/>
      <c r="R4" s="45"/>
      <c r="S4" s="45"/>
    </row>
    <row r="5" spans="1:21" ht="27" customHeight="1" x14ac:dyDescent="0.45">
      <c r="B5" s="198" t="s">
        <v>25</v>
      </c>
      <c r="C5" s="198"/>
      <c r="D5" s="198"/>
      <c r="E5" s="198"/>
      <c r="F5" s="198"/>
      <c r="G5" s="198"/>
      <c r="H5" s="198"/>
      <c r="I5" s="198"/>
      <c r="J5" s="198"/>
      <c r="K5" s="46"/>
      <c r="L5" s="46"/>
      <c r="M5" s="46"/>
      <c r="N5" s="46"/>
      <c r="O5" s="46"/>
      <c r="P5" s="46"/>
      <c r="Q5" s="46"/>
    </row>
    <row r="6" spans="1:21" s="26" customFormat="1" ht="36" customHeight="1" x14ac:dyDescent="0.35">
      <c r="A6" s="24"/>
      <c r="B6" s="44" t="s">
        <v>26</v>
      </c>
      <c r="C6" s="44" t="s">
        <v>27</v>
      </c>
      <c r="D6" s="44" t="s">
        <v>28</v>
      </c>
      <c r="E6" s="44" t="s">
        <v>29</v>
      </c>
      <c r="F6" s="44" t="s">
        <v>30</v>
      </c>
      <c r="G6" s="44" t="s">
        <v>31</v>
      </c>
      <c r="H6" s="44" t="s">
        <v>32</v>
      </c>
      <c r="I6" s="44" t="s">
        <v>22</v>
      </c>
      <c r="J6" s="44" t="s">
        <v>33</v>
      </c>
      <c r="K6" s="44" t="s">
        <v>34</v>
      </c>
      <c r="L6" s="44" t="s">
        <v>10</v>
      </c>
      <c r="M6" s="44" t="s">
        <v>35</v>
      </c>
      <c r="N6" s="44" t="s">
        <v>36</v>
      </c>
      <c r="O6" s="44" t="s">
        <v>37</v>
      </c>
      <c r="P6" s="44" t="s">
        <v>38</v>
      </c>
      <c r="Q6" s="44" t="s">
        <v>39</v>
      </c>
      <c r="R6" s="24"/>
      <c r="S6" s="24"/>
      <c r="T6" s="24"/>
      <c r="U6" s="24"/>
    </row>
    <row r="7" spans="1:21" ht="36" customHeight="1" x14ac:dyDescent="0.35">
      <c r="B7" s="20">
        <v>1</v>
      </c>
      <c r="C7" s="35" t="s">
        <v>40</v>
      </c>
      <c r="D7" s="28" t="s">
        <v>41</v>
      </c>
      <c r="E7" s="20" t="s">
        <v>42</v>
      </c>
      <c r="F7" s="20" t="s">
        <v>42</v>
      </c>
      <c r="G7" s="36">
        <v>46143</v>
      </c>
      <c r="H7" s="36">
        <v>46149</v>
      </c>
      <c r="I7" s="20"/>
      <c r="J7" s="28" t="s">
        <v>43</v>
      </c>
      <c r="K7" s="28" t="s">
        <v>44</v>
      </c>
      <c r="L7" s="29" t="s">
        <v>17</v>
      </c>
      <c r="M7" s="30">
        <v>0.5</v>
      </c>
      <c r="N7" s="31"/>
      <c r="O7" s="31"/>
      <c r="P7" s="31"/>
      <c r="Q7" s="37" t="s">
        <v>45</v>
      </c>
    </row>
    <row r="8" spans="1:21" ht="36" customHeight="1" x14ac:dyDescent="0.35">
      <c r="B8" s="20">
        <v>2</v>
      </c>
      <c r="C8" s="35" t="s">
        <v>40</v>
      </c>
      <c r="D8" s="28" t="s">
        <v>46</v>
      </c>
      <c r="E8" s="20" t="s">
        <v>42</v>
      </c>
      <c r="F8" s="20" t="s">
        <v>47</v>
      </c>
      <c r="G8" s="36">
        <v>46143</v>
      </c>
      <c r="H8" s="36">
        <v>46156</v>
      </c>
      <c r="I8" s="20"/>
      <c r="J8" s="28" t="s">
        <v>48</v>
      </c>
      <c r="K8" s="28" t="s">
        <v>49</v>
      </c>
      <c r="L8" s="29" t="s">
        <v>15</v>
      </c>
      <c r="M8" s="30">
        <v>0</v>
      </c>
      <c r="N8" s="31"/>
      <c r="O8" s="31"/>
      <c r="P8" s="31"/>
      <c r="Q8" s="37" t="s">
        <v>45</v>
      </c>
    </row>
    <row r="9" spans="1:21" ht="36" customHeight="1" x14ac:dyDescent="0.35">
      <c r="B9" s="20">
        <v>3</v>
      </c>
      <c r="C9" s="35" t="s">
        <v>40</v>
      </c>
      <c r="D9" s="28" t="s">
        <v>50</v>
      </c>
      <c r="E9" s="20" t="s">
        <v>47</v>
      </c>
      <c r="F9" s="20" t="s">
        <v>47</v>
      </c>
      <c r="G9" s="36">
        <v>46150</v>
      </c>
      <c r="H9" s="36">
        <v>46156</v>
      </c>
      <c r="I9" s="20"/>
      <c r="J9" s="28" t="s">
        <v>51</v>
      </c>
      <c r="K9" s="28" t="s">
        <v>52</v>
      </c>
      <c r="L9" s="29" t="s">
        <v>15</v>
      </c>
      <c r="M9" s="30">
        <v>0</v>
      </c>
      <c r="N9" s="31"/>
      <c r="O9" s="31"/>
      <c r="P9" s="31"/>
      <c r="Q9" s="37" t="s">
        <v>45</v>
      </c>
    </row>
    <row r="10" spans="1:21" ht="36" customHeight="1" x14ac:dyDescent="0.35">
      <c r="B10" s="20">
        <v>4</v>
      </c>
      <c r="C10" s="35" t="s">
        <v>40</v>
      </c>
      <c r="D10" s="28" t="s">
        <v>53</v>
      </c>
      <c r="E10" s="20" t="s">
        <v>47</v>
      </c>
      <c r="F10" s="20" t="s">
        <v>54</v>
      </c>
      <c r="G10" s="36">
        <v>46150</v>
      </c>
      <c r="H10" s="36">
        <v>46163</v>
      </c>
      <c r="I10" s="20"/>
      <c r="J10" s="28" t="s">
        <v>55</v>
      </c>
      <c r="K10" s="28" t="s">
        <v>56</v>
      </c>
      <c r="L10" s="29" t="s">
        <v>15</v>
      </c>
      <c r="M10" s="30">
        <v>0</v>
      </c>
      <c r="N10" s="31"/>
      <c r="O10" s="31"/>
      <c r="P10" s="31"/>
      <c r="Q10" s="37" t="s">
        <v>45</v>
      </c>
    </row>
    <row r="11" spans="1:21" ht="36" customHeight="1" x14ac:dyDescent="0.35">
      <c r="B11" s="20">
        <v>5</v>
      </c>
      <c r="C11" s="35" t="s">
        <v>40</v>
      </c>
      <c r="D11" s="28" t="s">
        <v>57</v>
      </c>
      <c r="E11" s="20" t="s">
        <v>54</v>
      </c>
      <c r="F11" s="20" t="s">
        <v>54</v>
      </c>
      <c r="G11" s="36">
        <v>46157</v>
      </c>
      <c r="H11" s="36">
        <v>46163</v>
      </c>
      <c r="I11" s="20"/>
      <c r="J11" s="28" t="s">
        <v>58</v>
      </c>
      <c r="K11" s="28" t="s">
        <v>59</v>
      </c>
      <c r="L11" s="29" t="s">
        <v>15</v>
      </c>
      <c r="M11" s="30">
        <v>0</v>
      </c>
      <c r="N11" s="31"/>
      <c r="O11" s="31"/>
      <c r="P11" s="31"/>
      <c r="Q11" s="37" t="s">
        <v>60</v>
      </c>
    </row>
    <row r="12" spans="1:21" ht="36" customHeight="1" x14ac:dyDescent="0.35">
      <c r="B12" s="20">
        <v>6</v>
      </c>
      <c r="C12" s="38" t="s">
        <v>61</v>
      </c>
      <c r="D12" s="28" t="s">
        <v>62</v>
      </c>
      <c r="E12" s="20" t="s">
        <v>63</v>
      </c>
      <c r="F12" s="20" t="s">
        <v>64</v>
      </c>
      <c r="G12" s="36">
        <v>46164</v>
      </c>
      <c r="H12" s="36">
        <v>46173</v>
      </c>
      <c r="I12" s="20"/>
      <c r="J12" s="28" t="s">
        <v>65</v>
      </c>
      <c r="K12" s="28" t="s">
        <v>66</v>
      </c>
      <c r="L12" s="29" t="s">
        <v>15</v>
      </c>
      <c r="M12" s="30">
        <v>0</v>
      </c>
      <c r="N12" s="31"/>
      <c r="O12" s="31"/>
      <c r="P12" s="31"/>
      <c r="Q12" s="37" t="s">
        <v>45</v>
      </c>
    </row>
    <row r="13" spans="1:21" ht="36" customHeight="1" x14ac:dyDescent="0.35">
      <c r="B13" s="20">
        <v>7</v>
      </c>
      <c r="C13" s="38" t="s">
        <v>61</v>
      </c>
      <c r="D13" s="28" t="s">
        <v>67</v>
      </c>
      <c r="E13" s="20" t="s">
        <v>68</v>
      </c>
      <c r="F13" s="20" t="s">
        <v>69</v>
      </c>
      <c r="G13" s="36">
        <v>46174</v>
      </c>
      <c r="H13" s="36">
        <v>46187</v>
      </c>
      <c r="I13" s="20"/>
      <c r="J13" s="28" t="s">
        <v>70</v>
      </c>
      <c r="K13" s="28" t="s">
        <v>71</v>
      </c>
      <c r="L13" s="29" t="s">
        <v>15</v>
      </c>
      <c r="M13" s="30">
        <v>0</v>
      </c>
      <c r="N13" s="31"/>
      <c r="O13" s="31"/>
      <c r="P13" s="31"/>
      <c r="Q13" s="37" t="s">
        <v>45</v>
      </c>
    </row>
    <row r="14" spans="1:21" ht="36" customHeight="1" x14ac:dyDescent="0.35">
      <c r="B14" s="20">
        <v>8</v>
      </c>
      <c r="C14" s="38" t="s">
        <v>61</v>
      </c>
      <c r="D14" s="28" t="s">
        <v>72</v>
      </c>
      <c r="E14" s="20" t="s">
        <v>68</v>
      </c>
      <c r="F14" s="20" t="s">
        <v>69</v>
      </c>
      <c r="G14" s="36">
        <v>46174</v>
      </c>
      <c r="H14" s="36">
        <v>46187</v>
      </c>
      <c r="I14" s="20"/>
      <c r="J14" s="28" t="s">
        <v>73</v>
      </c>
      <c r="K14" s="28" t="s">
        <v>74</v>
      </c>
      <c r="L14" s="29" t="s">
        <v>15</v>
      </c>
      <c r="M14" s="30">
        <v>0</v>
      </c>
      <c r="N14" s="31"/>
      <c r="O14" s="31"/>
      <c r="P14" s="31"/>
      <c r="Q14" s="37" t="s">
        <v>45</v>
      </c>
    </row>
    <row r="15" spans="1:21" ht="36" customHeight="1" x14ac:dyDescent="0.35">
      <c r="B15" s="20">
        <v>9</v>
      </c>
      <c r="C15" s="38" t="s">
        <v>61</v>
      </c>
      <c r="D15" s="28" t="s">
        <v>75</v>
      </c>
      <c r="E15" s="20" t="s">
        <v>76</v>
      </c>
      <c r="F15" s="20" t="s">
        <v>76</v>
      </c>
      <c r="G15" s="36">
        <v>46188</v>
      </c>
      <c r="H15" s="36">
        <v>46194</v>
      </c>
      <c r="I15" s="20"/>
      <c r="J15" s="28" t="s">
        <v>77</v>
      </c>
      <c r="K15" s="28" t="s">
        <v>78</v>
      </c>
      <c r="L15" s="29" t="s">
        <v>15</v>
      </c>
      <c r="M15" s="30">
        <v>0</v>
      </c>
      <c r="N15" s="31"/>
      <c r="O15" s="31"/>
      <c r="P15" s="31"/>
      <c r="Q15" s="37" t="s">
        <v>45</v>
      </c>
    </row>
    <row r="16" spans="1:21" ht="36" customHeight="1" x14ac:dyDescent="0.35">
      <c r="B16" s="20">
        <v>10</v>
      </c>
      <c r="C16" s="38" t="s">
        <v>61</v>
      </c>
      <c r="D16" s="28" t="s">
        <v>79</v>
      </c>
      <c r="E16" s="20" t="s">
        <v>76</v>
      </c>
      <c r="F16" s="20" t="s">
        <v>80</v>
      </c>
      <c r="G16" s="36">
        <v>46188</v>
      </c>
      <c r="H16" s="36">
        <v>46201</v>
      </c>
      <c r="I16" s="20"/>
      <c r="J16" s="28" t="s">
        <v>81</v>
      </c>
      <c r="K16" s="28" t="s">
        <v>82</v>
      </c>
      <c r="L16" s="29" t="s">
        <v>15</v>
      </c>
      <c r="M16" s="30">
        <v>0</v>
      </c>
      <c r="N16" s="31"/>
      <c r="O16" s="31"/>
      <c r="P16" s="31"/>
      <c r="Q16" s="37" t="s">
        <v>45</v>
      </c>
    </row>
    <row r="17" spans="2:17" ht="36" customHeight="1" x14ac:dyDescent="0.35">
      <c r="B17" s="20">
        <v>11</v>
      </c>
      <c r="C17" s="38" t="s">
        <v>61</v>
      </c>
      <c r="D17" s="28" t="s">
        <v>83</v>
      </c>
      <c r="E17" s="20" t="s">
        <v>80</v>
      </c>
      <c r="F17" s="20" t="s">
        <v>84</v>
      </c>
      <c r="G17" s="36">
        <v>46195</v>
      </c>
      <c r="H17" s="36">
        <v>46203</v>
      </c>
      <c r="I17" s="20"/>
      <c r="J17" s="28" t="s">
        <v>85</v>
      </c>
      <c r="K17" s="28" t="s">
        <v>86</v>
      </c>
      <c r="L17" s="29" t="s">
        <v>15</v>
      </c>
      <c r="M17" s="30">
        <v>0</v>
      </c>
      <c r="N17" s="31"/>
      <c r="O17" s="31"/>
      <c r="P17" s="31"/>
      <c r="Q17" s="37" t="s">
        <v>45</v>
      </c>
    </row>
    <row r="18" spans="2:17" ht="36" customHeight="1" x14ac:dyDescent="0.35">
      <c r="B18" s="20">
        <v>12</v>
      </c>
      <c r="C18" s="38" t="s">
        <v>61</v>
      </c>
      <c r="D18" s="28" t="s">
        <v>87</v>
      </c>
      <c r="E18" s="20" t="s">
        <v>88</v>
      </c>
      <c r="F18" s="20" t="s">
        <v>89</v>
      </c>
      <c r="G18" s="36">
        <v>46204</v>
      </c>
      <c r="H18" s="36">
        <v>46217</v>
      </c>
      <c r="I18" s="20"/>
      <c r="J18" s="28" t="s">
        <v>90</v>
      </c>
      <c r="K18" s="28" t="s">
        <v>91</v>
      </c>
      <c r="L18" s="29" t="s">
        <v>15</v>
      </c>
      <c r="M18" s="30">
        <v>0</v>
      </c>
      <c r="N18" s="31"/>
      <c r="O18" s="31"/>
      <c r="P18" s="31"/>
      <c r="Q18" s="37" t="s">
        <v>45</v>
      </c>
    </row>
    <row r="19" spans="2:17" ht="36" customHeight="1" x14ac:dyDescent="0.35">
      <c r="B19" s="20">
        <v>13</v>
      </c>
      <c r="C19" s="38" t="s">
        <v>61</v>
      </c>
      <c r="D19" s="28" t="s">
        <v>92</v>
      </c>
      <c r="E19" s="20" t="s">
        <v>88</v>
      </c>
      <c r="F19" s="20" t="s">
        <v>89</v>
      </c>
      <c r="G19" s="36">
        <v>46204</v>
      </c>
      <c r="H19" s="36">
        <v>46217</v>
      </c>
      <c r="I19" s="20"/>
      <c r="J19" s="28" t="s">
        <v>93</v>
      </c>
      <c r="K19" s="28" t="s">
        <v>94</v>
      </c>
      <c r="L19" s="29" t="s">
        <v>15</v>
      </c>
      <c r="M19" s="30">
        <v>0</v>
      </c>
      <c r="N19" s="31"/>
      <c r="O19" s="31"/>
      <c r="P19" s="31"/>
      <c r="Q19" s="37" t="s">
        <v>45</v>
      </c>
    </row>
    <row r="20" spans="2:17" ht="36" customHeight="1" x14ac:dyDescent="0.35">
      <c r="B20" s="20">
        <v>14</v>
      </c>
      <c r="C20" s="35" t="s">
        <v>40</v>
      </c>
      <c r="D20" s="28" t="s">
        <v>95</v>
      </c>
      <c r="E20" s="20" t="s">
        <v>89</v>
      </c>
      <c r="F20" s="20" t="s">
        <v>96</v>
      </c>
      <c r="G20" s="36">
        <v>46211</v>
      </c>
      <c r="H20" s="36">
        <v>46224</v>
      </c>
      <c r="I20" s="20"/>
      <c r="J20" s="28" t="s">
        <v>97</v>
      </c>
      <c r="K20" s="28" t="s">
        <v>98</v>
      </c>
      <c r="L20" s="29" t="s">
        <v>15</v>
      </c>
      <c r="M20" s="30">
        <v>0</v>
      </c>
      <c r="N20" s="31"/>
      <c r="O20" s="31"/>
      <c r="P20" s="31"/>
      <c r="Q20" s="37" t="s">
        <v>45</v>
      </c>
    </row>
    <row r="21" spans="2:17" ht="36" customHeight="1" x14ac:dyDescent="0.35">
      <c r="B21" s="20">
        <v>15</v>
      </c>
      <c r="C21" s="39" t="s">
        <v>99</v>
      </c>
      <c r="D21" s="28" t="s">
        <v>100</v>
      </c>
      <c r="E21" s="20" t="s">
        <v>96</v>
      </c>
      <c r="F21" s="20" t="s">
        <v>101</v>
      </c>
      <c r="G21" s="36">
        <v>46218</v>
      </c>
      <c r="H21" s="36">
        <v>46231</v>
      </c>
      <c r="I21" s="20"/>
      <c r="J21" s="28" t="s">
        <v>102</v>
      </c>
      <c r="K21" s="28" t="s">
        <v>103</v>
      </c>
      <c r="L21" s="29" t="s">
        <v>15</v>
      </c>
      <c r="M21" s="30">
        <v>0</v>
      </c>
      <c r="N21" s="31"/>
      <c r="O21" s="31"/>
      <c r="P21" s="31"/>
      <c r="Q21" s="37" t="s">
        <v>45</v>
      </c>
    </row>
    <row r="22" spans="2:17" ht="36" customHeight="1" x14ac:dyDescent="0.35">
      <c r="B22" s="20">
        <v>16</v>
      </c>
      <c r="C22" s="38" t="s">
        <v>61</v>
      </c>
      <c r="D22" s="28" t="s">
        <v>104</v>
      </c>
      <c r="E22" s="20" t="s">
        <v>101</v>
      </c>
      <c r="F22" s="20" t="s">
        <v>105</v>
      </c>
      <c r="G22" s="36">
        <v>46225</v>
      </c>
      <c r="H22" s="36">
        <v>46234</v>
      </c>
      <c r="I22" s="20"/>
      <c r="J22" s="28" t="s">
        <v>106</v>
      </c>
      <c r="K22" s="28" t="s">
        <v>107</v>
      </c>
      <c r="L22" s="29" t="s">
        <v>15</v>
      </c>
      <c r="M22" s="30">
        <v>0</v>
      </c>
      <c r="N22" s="31"/>
      <c r="O22" s="31"/>
      <c r="P22" s="31"/>
      <c r="Q22" s="37" t="s">
        <v>45</v>
      </c>
    </row>
    <row r="23" spans="2:17" ht="36" customHeight="1" x14ac:dyDescent="0.35">
      <c r="B23" s="20">
        <v>17</v>
      </c>
      <c r="C23" s="40" t="s">
        <v>108</v>
      </c>
      <c r="D23" s="28" t="s">
        <v>109</v>
      </c>
      <c r="E23" s="20" t="s">
        <v>110</v>
      </c>
      <c r="F23" s="20" t="s">
        <v>111</v>
      </c>
      <c r="G23" s="36">
        <v>46235</v>
      </c>
      <c r="H23" s="36">
        <v>46262</v>
      </c>
      <c r="I23" s="20"/>
      <c r="J23" s="28" t="s">
        <v>112</v>
      </c>
      <c r="K23" s="28" t="s">
        <v>113</v>
      </c>
      <c r="L23" s="29" t="s">
        <v>15</v>
      </c>
      <c r="M23" s="30">
        <v>0</v>
      </c>
      <c r="N23" s="31"/>
      <c r="O23" s="31"/>
      <c r="P23" s="31"/>
      <c r="Q23" s="37" t="s">
        <v>45</v>
      </c>
    </row>
    <row r="24" spans="2:17" ht="36" customHeight="1" x14ac:dyDescent="0.35">
      <c r="B24" s="20">
        <v>18</v>
      </c>
      <c r="C24" s="40" t="s">
        <v>108</v>
      </c>
      <c r="D24" s="28" t="s">
        <v>114</v>
      </c>
      <c r="E24" s="20" t="s">
        <v>110</v>
      </c>
      <c r="F24" s="20" t="s">
        <v>115</v>
      </c>
      <c r="G24" s="36">
        <v>46235</v>
      </c>
      <c r="H24" s="36">
        <v>46265</v>
      </c>
      <c r="I24" s="20"/>
      <c r="J24" s="28" t="s">
        <v>116</v>
      </c>
      <c r="K24" s="28" t="s">
        <v>117</v>
      </c>
      <c r="L24" s="29" t="s">
        <v>15</v>
      </c>
      <c r="M24" s="30">
        <v>0</v>
      </c>
      <c r="N24" s="31"/>
      <c r="O24" s="31"/>
      <c r="P24" s="31"/>
      <c r="Q24" s="37" t="s">
        <v>45</v>
      </c>
    </row>
    <row r="25" spans="2:17" ht="36" customHeight="1" x14ac:dyDescent="0.35">
      <c r="B25" s="20">
        <v>19</v>
      </c>
      <c r="C25" s="40" t="s">
        <v>108</v>
      </c>
      <c r="D25" s="28" t="s">
        <v>118</v>
      </c>
      <c r="E25" s="20" t="s">
        <v>119</v>
      </c>
      <c r="F25" s="20" t="s">
        <v>111</v>
      </c>
      <c r="G25" s="36">
        <v>46242</v>
      </c>
      <c r="H25" s="36">
        <v>46262</v>
      </c>
      <c r="I25" s="20"/>
      <c r="J25" s="28" t="s">
        <v>120</v>
      </c>
      <c r="K25" s="28" t="s">
        <v>121</v>
      </c>
      <c r="L25" s="29" t="s">
        <v>15</v>
      </c>
      <c r="M25" s="30">
        <v>0</v>
      </c>
      <c r="N25" s="31"/>
      <c r="O25" s="31"/>
      <c r="P25" s="31"/>
      <c r="Q25" s="37" t="s">
        <v>45</v>
      </c>
    </row>
    <row r="26" spans="2:17" ht="36" customHeight="1" x14ac:dyDescent="0.35">
      <c r="B26" s="20">
        <v>20</v>
      </c>
      <c r="C26" s="40" t="s">
        <v>108</v>
      </c>
      <c r="D26" s="28" t="s">
        <v>122</v>
      </c>
      <c r="E26" s="20" t="s">
        <v>123</v>
      </c>
      <c r="F26" s="20" t="s">
        <v>115</v>
      </c>
      <c r="G26" s="36">
        <v>46249</v>
      </c>
      <c r="H26" s="36">
        <v>46265</v>
      </c>
      <c r="I26" s="20"/>
      <c r="J26" s="28" t="s">
        <v>124</v>
      </c>
      <c r="K26" s="28" t="s">
        <v>125</v>
      </c>
      <c r="L26" s="29" t="s">
        <v>15</v>
      </c>
      <c r="M26" s="30">
        <v>0</v>
      </c>
      <c r="N26" s="31"/>
      <c r="O26" s="31"/>
      <c r="P26" s="31"/>
      <c r="Q26" s="37" t="s">
        <v>45</v>
      </c>
    </row>
    <row r="27" spans="2:17" ht="36" customHeight="1" x14ac:dyDescent="0.35">
      <c r="B27" s="20">
        <v>21</v>
      </c>
      <c r="C27" s="41" t="s">
        <v>126</v>
      </c>
      <c r="D27" s="28" t="s">
        <v>127</v>
      </c>
      <c r="E27" s="20" t="s">
        <v>128</v>
      </c>
      <c r="F27" s="20" t="s">
        <v>129</v>
      </c>
      <c r="G27" s="36">
        <v>46266</v>
      </c>
      <c r="H27" s="36">
        <v>46279</v>
      </c>
      <c r="I27" s="20"/>
      <c r="J27" s="28" t="s">
        <v>130</v>
      </c>
      <c r="K27" s="28" t="s">
        <v>131</v>
      </c>
      <c r="L27" s="29" t="s">
        <v>15</v>
      </c>
      <c r="M27" s="30">
        <v>0</v>
      </c>
      <c r="N27" s="31"/>
      <c r="O27" s="31"/>
      <c r="P27" s="31"/>
      <c r="Q27" s="37" t="s">
        <v>45</v>
      </c>
    </row>
    <row r="28" spans="2:17" ht="36" customHeight="1" x14ac:dyDescent="0.35">
      <c r="B28" s="20">
        <v>22</v>
      </c>
      <c r="C28" s="41" t="s">
        <v>126</v>
      </c>
      <c r="D28" s="28" t="s">
        <v>132</v>
      </c>
      <c r="E28" s="20" t="s">
        <v>129</v>
      </c>
      <c r="F28" s="20" t="s">
        <v>133</v>
      </c>
      <c r="G28" s="36">
        <v>46273</v>
      </c>
      <c r="H28" s="36">
        <v>46286</v>
      </c>
      <c r="I28" s="20"/>
      <c r="J28" s="28" t="s">
        <v>134</v>
      </c>
      <c r="K28" s="28" t="s">
        <v>135</v>
      </c>
      <c r="L28" s="29" t="s">
        <v>15</v>
      </c>
      <c r="M28" s="30">
        <v>0</v>
      </c>
      <c r="N28" s="31"/>
      <c r="O28" s="31"/>
      <c r="P28" s="31"/>
      <c r="Q28" s="37" t="s">
        <v>45</v>
      </c>
    </row>
    <row r="29" spans="2:17" ht="36" customHeight="1" x14ac:dyDescent="0.35">
      <c r="B29" s="20">
        <v>23</v>
      </c>
      <c r="C29" s="41" t="s">
        <v>126</v>
      </c>
      <c r="D29" s="28" t="s">
        <v>136</v>
      </c>
      <c r="E29" s="20" t="s">
        <v>133</v>
      </c>
      <c r="F29" s="20" t="s">
        <v>137</v>
      </c>
      <c r="G29" s="36">
        <v>46280</v>
      </c>
      <c r="H29" s="36">
        <v>46293</v>
      </c>
      <c r="I29" s="20"/>
      <c r="J29" s="28" t="s">
        <v>138</v>
      </c>
      <c r="K29" s="28" t="s">
        <v>139</v>
      </c>
      <c r="L29" s="29" t="s">
        <v>15</v>
      </c>
      <c r="M29" s="30">
        <v>0</v>
      </c>
      <c r="N29" s="31"/>
      <c r="O29" s="31"/>
      <c r="P29" s="31"/>
      <c r="Q29" s="37" t="s">
        <v>45</v>
      </c>
    </row>
    <row r="30" spans="2:17" ht="36" customHeight="1" x14ac:dyDescent="0.35">
      <c r="B30" s="20">
        <v>24</v>
      </c>
      <c r="C30" s="41" t="s">
        <v>126</v>
      </c>
      <c r="D30" s="28" t="s">
        <v>140</v>
      </c>
      <c r="E30" s="20" t="s">
        <v>137</v>
      </c>
      <c r="F30" s="20" t="s">
        <v>141</v>
      </c>
      <c r="G30" s="36">
        <v>46287</v>
      </c>
      <c r="H30" s="36">
        <v>46302</v>
      </c>
      <c r="I30" s="20"/>
      <c r="J30" s="28" t="s">
        <v>142</v>
      </c>
      <c r="K30" s="28" t="s">
        <v>143</v>
      </c>
      <c r="L30" s="29" t="s">
        <v>15</v>
      </c>
      <c r="M30" s="30">
        <v>0</v>
      </c>
      <c r="N30" s="31"/>
      <c r="O30" s="31"/>
      <c r="P30" s="31"/>
      <c r="Q30" s="37" t="s">
        <v>45</v>
      </c>
    </row>
    <row r="31" spans="2:17" ht="36" customHeight="1" x14ac:dyDescent="0.35">
      <c r="B31" s="20">
        <v>25</v>
      </c>
      <c r="C31" s="38" t="s">
        <v>61</v>
      </c>
      <c r="D31" s="28" t="s">
        <v>144</v>
      </c>
      <c r="E31" s="20" t="s">
        <v>141</v>
      </c>
      <c r="F31" s="20" t="s">
        <v>145</v>
      </c>
      <c r="G31" s="36">
        <v>46296</v>
      </c>
      <c r="H31" s="36">
        <v>46309</v>
      </c>
      <c r="I31" s="20"/>
      <c r="J31" s="28" t="s">
        <v>146</v>
      </c>
      <c r="K31" s="28" t="s">
        <v>147</v>
      </c>
      <c r="L31" s="29" t="s">
        <v>15</v>
      </c>
      <c r="M31" s="30">
        <v>0</v>
      </c>
      <c r="N31" s="31"/>
      <c r="O31" s="31"/>
      <c r="P31" s="31"/>
      <c r="Q31" s="37" t="s">
        <v>45</v>
      </c>
    </row>
    <row r="32" spans="2:17" ht="36" customHeight="1" x14ac:dyDescent="0.35">
      <c r="B32" s="20">
        <v>26</v>
      </c>
      <c r="C32" s="35" t="s">
        <v>40</v>
      </c>
      <c r="D32" s="28" t="s">
        <v>148</v>
      </c>
      <c r="E32" s="20" t="s">
        <v>145</v>
      </c>
      <c r="F32" s="20" t="s">
        <v>149</v>
      </c>
      <c r="G32" s="36">
        <v>46303</v>
      </c>
      <c r="H32" s="36">
        <v>46316</v>
      </c>
      <c r="I32" s="20"/>
      <c r="J32" s="28" t="s">
        <v>150</v>
      </c>
      <c r="K32" s="28" t="s">
        <v>151</v>
      </c>
      <c r="L32" s="29" t="s">
        <v>15</v>
      </c>
      <c r="M32" s="30">
        <v>0</v>
      </c>
      <c r="N32" s="31"/>
      <c r="O32" s="31"/>
      <c r="P32" s="31"/>
      <c r="Q32" s="37" t="s">
        <v>45</v>
      </c>
    </row>
    <row r="33" spans="2:17" ht="36" customHeight="1" x14ac:dyDescent="0.35">
      <c r="B33" s="20">
        <v>27</v>
      </c>
      <c r="C33" s="41" t="s">
        <v>126</v>
      </c>
      <c r="D33" s="28" t="s">
        <v>152</v>
      </c>
      <c r="E33" s="20" t="s">
        <v>149</v>
      </c>
      <c r="F33" s="20" t="s">
        <v>153</v>
      </c>
      <c r="G33" s="36">
        <v>46310</v>
      </c>
      <c r="H33" s="36">
        <v>46323</v>
      </c>
      <c r="I33" s="20"/>
      <c r="J33" s="28" t="s">
        <v>154</v>
      </c>
      <c r="K33" s="28" t="s">
        <v>155</v>
      </c>
      <c r="L33" s="29" t="s">
        <v>15</v>
      </c>
      <c r="M33" s="30">
        <v>0</v>
      </c>
      <c r="N33" s="31"/>
      <c r="O33" s="31"/>
      <c r="P33" s="31"/>
      <c r="Q33" s="37" t="s">
        <v>45</v>
      </c>
    </row>
    <row r="34" spans="2:17" ht="36" customHeight="1" x14ac:dyDescent="0.35">
      <c r="B34" s="20">
        <v>28</v>
      </c>
      <c r="C34" s="41" t="s">
        <v>126</v>
      </c>
      <c r="D34" s="28" t="s">
        <v>156</v>
      </c>
      <c r="E34" s="20" t="s">
        <v>153</v>
      </c>
      <c r="F34" s="20" t="s">
        <v>157</v>
      </c>
      <c r="G34" s="36">
        <v>46317</v>
      </c>
      <c r="H34" s="36">
        <v>46333</v>
      </c>
      <c r="I34" s="20"/>
      <c r="J34" s="28" t="s">
        <v>158</v>
      </c>
      <c r="K34" s="28" t="s">
        <v>159</v>
      </c>
      <c r="L34" s="29" t="s">
        <v>15</v>
      </c>
      <c r="M34" s="30">
        <v>0</v>
      </c>
      <c r="N34" s="31"/>
      <c r="O34" s="31"/>
      <c r="P34" s="31"/>
      <c r="Q34" s="37" t="s">
        <v>45</v>
      </c>
    </row>
    <row r="35" spans="2:17" ht="36" customHeight="1" x14ac:dyDescent="0.35">
      <c r="B35" s="20">
        <v>29</v>
      </c>
      <c r="C35" s="41" t="s">
        <v>126</v>
      </c>
      <c r="D35" s="28" t="s">
        <v>160</v>
      </c>
      <c r="E35" s="20" t="s">
        <v>157</v>
      </c>
      <c r="F35" s="20" t="s">
        <v>161</v>
      </c>
      <c r="G35" s="36">
        <v>46327</v>
      </c>
      <c r="H35" s="36">
        <v>46340</v>
      </c>
      <c r="I35" s="20"/>
      <c r="J35" s="28" t="s">
        <v>162</v>
      </c>
      <c r="K35" s="28" t="s">
        <v>163</v>
      </c>
      <c r="L35" s="29" t="s">
        <v>15</v>
      </c>
      <c r="M35" s="30">
        <v>0</v>
      </c>
      <c r="N35" s="31"/>
      <c r="O35" s="31"/>
      <c r="P35" s="31"/>
      <c r="Q35" s="37" t="s">
        <v>45</v>
      </c>
    </row>
    <row r="36" spans="2:17" ht="29" x14ac:dyDescent="0.35">
      <c r="B36" s="20">
        <v>30</v>
      </c>
      <c r="C36" s="42" t="s">
        <v>164</v>
      </c>
      <c r="D36" s="28" t="s">
        <v>165</v>
      </c>
      <c r="E36" s="20" t="s">
        <v>161</v>
      </c>
      <c r="F36" s="20" t="s">
        <v>166</v>
      </c>
      <c r="G36" s="36">
        <v>46334</v>
      </c>
      <c r="H36" s="36">
        <v>46347</v>
      </c>
      <c r="I36" s="20"/>
      <c r="J36" s="28" t="s">
        <v>167</v>
      </c>
      <c r="K36" s="28" t="s">
        <v>168</v>
      </c>
      <c r="L36" s="29" t="s">
        <v>15</v>
      </c>
      <c r="M36" s="30">
        <v>0</v>
      </c>
      <c r="N36" s="31"/>
      <c r="O36" s="31"/>
      <c r="P36" s="31"/>
      <c r="Q36" s="37" t="s">
        <v>45</v>
      </c>
    </row>
    <row r="37" spans="2:17" ht="19.5" customHeight="1" x14ac:dyDescent="0.35">
      <c r="B37" s="20">
        <v>31</v>
      </c>
      <c r="C37" s="42" t="s">
        <v>164</v>
      </c>
      <c r="D37" s="28" t="s">
        <v>169</v>
      </c>
      <c r="E37" s="20" t="s">
        <v>170</v>
      </c>
      <c r="F37" s="20" t="s">
        <v>171</v>
      </c>
      <c r="G37" s="36">
        <v>46348</v>
      </c>
      <c r="H37" s="36">
        <v>46356</v>
      </c>
      <c r="I37" s="20"/>
      <c r="J37" s="28" t="s">
        <v>172</v>
      </c>
      <c r="K37" s="28" t="s">
        <v>173</v>
      </c>
      <c r="L37" s="29" t="s">
        <v>15</v>
      </c>
      <c r="M37" s="30">
        <v>0</v>
      </c>
      <c r="N37" s="31"/>
      <c r="O37" s="31"/>
      <c r="P37" s="31"/>
      <c r="Q37" s="37" t="s">
        <v>45</v>
      </c>
    </row>
    <row r="38" spans="2:17" x14ac:dyDescent="0.35">
      <c r="B38" s="16"/>
      <c r="C38" s="43"/>
      <c r="D38" s="16"/>
      <c r="E38" s="16"/>
      <c r="F38" s="16"/>
      <c r="G38" s="16"/>
      <c r="H38" s="16"/>
      <c r="I38" s="17"/>
      <c r="J38" s="16"/>
      <c r="K38" s="16"/>
      <c r="L38" s="16"/>
      <c r="M38" s="16"/>
      <c r="N38" s="16"/>
      <c r="O38" s="16"/>
      <c r="P38" s="16"/>
      <c r="Q38" s="16"/>
    </row>
    <row r="39" spans="2:17" x14ac:dyDescent="0.35">
      <c r="B39" s="13"/>
      <c r="C39" s="33"/>
      <c r="D39" s="13"/>
      <c r="E39" s="13"/>
      <c r="F39" s="13"/>
      <c r="G39" s="13"/>
      <c r="H39" s="13"/>
      <c r="I39" s="14"/>
      <c r="J39" s="13"/>
      <c r="K39" s="13"/>
      <c r="L39" s="13"/>
      <c r="M39" s="13"/>
      <c r="N39" s="13"/>
      <c r="O39" s="13"/>
      <c r="P39" s="13"/>
      <c r="Q39" s="13"/>
    </row>
    <row r="40" spans="2:17" x14ac:dyDescent="0.35">
      <c r="B40" s="13"/>
      <c r="C40" s="33"/>
      <c r="D40" s="13"/>
      <c r="E40" s="13"/>
      <c r="F40" s="13"/>
      <c r="G40" s="13"/>
      <c r="H40" s="13"/>
      <c r="I40" s="14"/>
      <c r="J40" s="13"/>
      <c r="K40" s="13"/>
      <c r="L40" s="13"/>
      <c r="M40" s="13"/>
      <c r="N40" s="13"/>
      <c r="O40" s="13"/>
      <c r="P40" s="13"/>
      <c r="Q40" s="13"/>
    </row>
    <row r="41" spans="2:17" x14ac:dyDescent="0.35">
      <c r="B41" s="13"/>
      <c r="C41" s="33"/>
      <c r="D41" s="13"/>
      <c r="E41" s="13"/>
      <c r="F41" s="13"/>
      <c r="G41" s="13"/>
      <c r="H41" s="13"/>
      <c r="I41" s="14"/>
      <c r="J41" s="13"/>
      <c r="K41" s="13"/>
      <c r="L41" s="13"/>
      <c r="M41" s="13"/>
      <c r="N41" s="13"/>
      <c r="O41" s="13"/>
      <c r="P41" s="13"/>
      <c r="Q41" s="13"/>
    </row>
    <row r="42" spans="2:17" x14ac:dyDescent="0.35">
      <c r="B42" s="13"/>
      <c r="C42" s="33"/>
      <c r="D42" s="13"/>
      <c r="E42" s="13"/>
      <c r="F42" s="13"/>
      <c r="G42" s="13"/>
      <c r="H42" s="13"/>
      <c r="I42" s="14"/>
      <c r="J42" s="13"/>
      <c r="K42" s="13"/>
      <c r="L42" s="13"/>
      <c r="M42" s="13"/>
      <c r="N42" s="13"/>
      <c r="O42" s="13"/>
      <c r="P42" s="13"/>
      <c r="Q42" s="13"/>
    </row>
    <row r="43" spans="2:17" x14ac:dyDescent="0.35">
      <c r="B43" s="13"/>
      <c r="C43" s="33"/>
      <c r="D43" s="13"/>
      <c r="E43" s="13"/>
      <c r="F43" s="13"/>
      <c r="G43" s="13"/>
      <c r="H43" s="13"/>
      <c r="I43" s="14"/>
      <c r="J43" s="13"/>
      <c r="K43" s="13"/>
      <c r="L43" s="13"/>
      <c r="M43" s="13"/>
      <c r="N43" s="13"/>
      <c r="O43" s="13"/>
      <c r="P43" s="13"/>
      <c r="Q43" s="13"/>
    </row>
    <row r="44" spans="2:17" x14ac:dyDescent="0.35">
      <c r="B44" s="13"/>
      <c r="C44" s="33"/>
      <c r="D44" s="13"/>
      <c r="E44" s="13"/>
      <c r="F44" s="13"/>
      <c r="G44" s="13"/>
      <c r="H44" s="13"/>
      <c r="I44" s="14"/>
      <c r="J44" s="13"/>
      <c r="K44" s="13"/>
      <c r="L44" s="13"/>
      <c r="M44" s="13"/>
      <c r="N44" s="13"/>
      <c r="O44" s="13"/>
      <c r="P44" s="13"/>
      <c r="Q44" s="13"/>
    </row>
    <row r="45" spans="2:17" x14ac:dyDescent="0.35">
      <c r="B45" s="13"/>
      <c r="C45" s="33"/>
      <c r="D45" s="13"/>
      <c r="E45" s="13"/>
      <c r="F45" s="13"/>
      <c r="G45" s="13"/>
      <c r="H45" s="13"/>
      <c r="I45" s="14"/>
      <c r="J45" s="13"/>
      <c r="K45" s="13"/>
      <c r="L45" s="13"/>
      <c r="M45" s="13"/>
      <c r="N45" s="13"/>
      <c r="O45" s="13"/>
      <c r="P45" s="13"/>
      <c r="Q45" s="13"/>
    </row>
    <row r="46" spans="2:17" x14ac:dyDescent="0.35">
      <c r="B46" s="13"/>
      <c r="C46" s="33"/>
      <c r="D46" s="13"/>
      <c r="E46" s="13"/>
      <c r="F46" s="13"/>
      <c r="G46" s="13"/>
      <c r="H46" s="13"/>
      <c r="I46" s="14"/>
      <c r="J46" s="13"/>
      <c r="K46" s="13"/>
      <c r="L46" s="13"/>
      <c r="M46" s="13"/>
      <c r="N46" s="13"/>
      <c r="O46" s="13"/>
      <c r="P46" s="13"/>
      <c r="Q46" s="13"/>
    </row>
    <row r="47" spans="2:17" x14ac:dyDescent="0.35">
      <c r="B47" s="13"/>
      <c r="C47" s="33"/>
      <c r="D47" s="13"/>
      <c r="E47" s="13"/>
      <c r="F47" s="13"/>
      <c r="G47" s="13"/>
      <c r="H47" s="13"/>
      <c r="I47" s="14"/>
      <c r="J47" s="13"/>
      <c r="K47" s="13"/>
      <c r="L47" s="13"/>
      <c r="M47" s="13"/>
      <c r="N47" s="13"/>
      <c r="O47" s="13"/>
      <c r="P47" s="13"/>
      <c r="Q47" s="13"/>
    </row>
    <row r="48" spans="2:17" x14ac:dyDescent="0.35">
      <c r="B48" s="13"/>
      <c r="C48" s="33"/>
      <c r="D48" s="13"/>
      <c r="E48" s="13"/>
      <c r="F48" s="13"/>
      <c r="G48" s="13"/>
      <c r="H48" s="13"/>
      <c r="I48" s="14"/>
      <c r="J48" s="13"/>
      <c r="K48" s="13"/>
      <c r="L48" s="13"/>
      <c r="M48" s="13"/>
      <c r="N48" s="13"/>
      <c r="O48" s="13"/>
      <c r="P48" s="13"/>
      <c r="Q48" s="13"/>
    </row>
    <row r="49" spans="2:17" x14ac:dyDescent="0.35">
      <c r="B49" s="13"/>
      <c r="C49" s="33"/>
      <c r="D49" s="13"/>
      <c r="E49" s="13"/>
      <c r="F49" s="13"/>
      <c r="G49" s="13"/>
      <c r="H49" s="13"/>
      <c r="I49" s="14"/>
      <c r="J49" s="13"/>
      <c r="K49" s="13"/>
      <c r="L49" s="13"/>
      <c r="M49" s="13"/>
      <c r="N49" s="13"/>
      <c r="O49" s="13"/>
      <c r="P49" s="13"/>
      <c r="Q49" s="13"/>
    </row>
    <row r="50" spans="2:17" x14ac:dyDescent="0.35">
      <c r="B50" s="13"/>
      <c r="C50" s="33"/>
      <c r="D50" s="13"/>
      <c r="E50" s="13"/>
      <c r="F50" s="13"/>
      <c r="G50" s="13"/>
      <c r="H50" s="13"/>
      <c r="I50" s="14"/>
      <c r="J50" s="13"/>
      <c r="K50" s="13"/>
      <c r="L50" s="13"/>
      <c r="M50" s="13"/>
      <c r="N50" s="13"/>
      <c r="O50" s="13"/>
      <c r="P50" s="13"/>
      <c r="Q50" s="13"/>
    </row>
    <row r="51" spans="2:17" x14ac:dyDescent="0.35">
      <c r="B51" s="13"/>
      <c r="C51" s="33"/>
      <c r="D51" s="13"/>
      <c r="E51" s="13"/>
      <c r="F51" s="13"/>
      <c r="G51" s="13"/>
      <c r="H51" s="13"/>
      <c r="I51" s="14"/>
      <c r="J51" s="13"/>
      <c r="K51" s="13"/>
      <c r="L51" s="13"/>
      <c r="M51" s="13"/>
      <c r="N51" s="13"/>
      <c r="O51" s="13"/>
      <c r="P51" s="13"/>
      <c r="Q51" s="13"/>
    </row>
    <row r="52" spans="2:17" x14ac:dyDescent="0.35">
      <c r="B52" s="13"/>
      <c r="C52" s="33"/>
      <c r="D52" s="13"/>
      <c r="E52" s="13"/>
      <c r="F52" s="13"/>
      <c r="G52" s="13"/>
      <c r="H52" s="13"/>
      <c r="I52" s="14"/>
      <c r="J52" s="13"/>
      <c r="K52" s="13"/>
      <c r="L52" s="13"/>
      <c r="M52" s="13"/>
      <c r="N52" s="13"/>
      <c r="O52" s="13"/>
      <c r="P52" s="13"/>
      <c r="Q52" s="13"/>
    </row>
  </sheetData>
  <mergeCells count="2">
    <mergeCell ref="B4:J4"/>
    <mergeCell ref="B5:J5"/>
  </mergeCells>
  <conditionalFormatting sqref="L5:L35">
    <cfRule type="expression" dxfId="20" priority="2">
      <formula>$L5="Selesai"</formula>
    </cfRule>
    <cfRule type="expression" dxfId="19" priority="3">
      <formula>$L5="Berjalan"</formula>
    </cfRule>
    <cfRule type="expression" dxfId="18" priority="4">
      <formula>$L5="Terlambat"</formula>
    </cfRule>
    <cfRule type="expression" dxfId="17" priority="5">
      <formula>$L5="Belum Mulai"</formula>
    </cfRule>
  </conditionalFormatting>
  <conditionalFormatting sqref="L7:L37">
    <cfRule type="expression" dxfId="16" priority="6">
      <formula>$L7="Selesai"</formula>
    </cfRule>
    <cfRule type="expression" dxfId="15" priority="7">
      <formula>$L7="Berjalan"</formula>
    </cfRule>
    <cfRule type="expression" dxfId="14" priority="8">
      <formula>$L7="Terlambat"</formula>
    </cfRule>
  </conditionalFormatting>
  <conditionalFormatting sqref="M5:M35">
    <cfRule type="dataBar" priority="1">
      <dataBar>
        <cfvo type="num" val="0"/>
        <cfvo type="num" val="1"/>
        <color rgb="FF4F81BD"/>
      </dataBar>
    </cfRule>
  </conditionalFormatting>
  <dataValidations count="3">
    <dataValidation type="list" sqref="I7:I41 L5:L35" xr:uid="{00000000-0002-0000-0100-000000000000}">
      <formula1>"Belum Mulai,Berjalan,Selesai,Terlambat"</formula1>
    </dataValidation>
    <dataValidation type="list" allowBlank="1" sqref="L7:L37" xr:uid="{00000000-0002-0000-0100-000001000000}">
      <formula1>"Belum Mulai,Berjalan,Selesai,Terlambat"</formula1>
    </dataValidation>
    <dataValidation type="list" allowBlank="1" sqref="Q7:Q37" xr:uid="{00000000-0002-0000-0100-000002000000}">
      <formula1>"Tinggi,Sedang,Rendah"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4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3" sqref="F3"/>
    </sheetView>
  </sheetViews>
  <sheetFormatPr defaultRowHeight="14.5" x14ac:dyDescent="0.35"/>
  <cols>
    <col min="1" max="1" width="8.7265625" style="21"/>
    <col min="2" max="2" width="6" customWidth="1"/>
    <col min="3" max="4" width="12" customWidth="1"/>
    <col min="5" max="5" width="18" customWidth="1"/>
    <col min="6" max="6" width="48" customWidth="1"/>
    <col min="7" max="7" width="40" customWidth="1"/>
    <col min="8" max="8" width="13.26953125" customWidth="1"/>
    <col min="9" max="9" width="16" customWidth="1"/>
    <col min="10" max="10" width="12" customWidth="1"/>
    <col min="11" max="11" width="22" customWidth="1"/>
    <col min="12" max="12" width="24" customWidth="1"/>
  </cols>
  <sheetData>
    <row r="1" spans="2:12" s="21" customFormat="1" x14ac:dyDescent="0.35"/>
    <row r="2" spans="2:12" s="21" customFormat="1" x14ac:dyDescent="0.35"/>
    <row r="3" spans="2:12" s="21" customFormat="1" x14ac:dyDescent="0.35"/>
    <row r="4" spans="2:12" ht="18.5" x14ac:dyDescent="0.45">
      <c r="B4" s="201" t="s">
        <v>560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</row>
    <row r="5" spans="2:12" ht="25.5" customHeight="1" x14ac:dyDescent="0.35">
      <c r="B5" s="199" t="s">
        <v>174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</row>
    <row r="6" spans="2:12" ht="32" customHeight="1" x14ac:dyDescent="0.35">
      <c r="B6" s="27" t="s">
        <v>26</v>
      </c>
      <c r="C6" s="27" t="s">
        <v>175</v>
      </c>
      <c r="D6" s="27" t="s">
        <v>176</v>
      </c>
      <c r="E6" s="27" t="s">
        <v>177</v>
      </c>
      <c r="F6" s="27" t="s">
        <v>178</v>
      </c>
      <c r="G6" s="27" t="s">
        <v>179</v>
      </c>
      <c r="H6" s="27" t="s">
        <v>180</v>
      </c>
      <c r="I6" s="27" t="s">
        <v>181</v>
      </c>
      <c r="J6" s="27" t="s">
        <v>35</v>
      </c>
      <c r="K6" s="27" t="s">
        <v>36</v>
      </c>
      <c r="L6" s="27" t="s">
        <v>37</v>
      </c>
    </row>
    <row r="7" spans="2:12" ht="54" customHeight="1" x14ac:dyDescent="0.35">
      <c r="B7" s="20">
        <v>1</v>
      </c>
      <c r="C7" s="20" t="s">
        <v>182</v>
      </c>
      <c r="D7" s="20" t="s">
        <v>183</v>
      </c>
      <c r="E7" s="20" t="s">
        <v>184</v>
      </c>
      <c r="F7" s="28" t="s">
        <v>185</v>
      </c>
      <c r="G7" s="28" t="s">
        <v>186</v>
      </c>
      <c r="H7" s="28"/>
      <c r="I7" s="29" t="s">
        <v>15</v>
      </c>
      <c r="J7" s="30">
        <v>0</v>
      </c>
      <c r="K7" s="31"/>
      <c r="L7" s="31"/>
    </row>
    <row r="8" spans="2:12" ht="54" customHeight="1" x14ac:dyDescent="0.35">
      <c r="B8" s="20">
        <v>2</v>
      </c>
      <c r="C8" s="20" t="s">
        <v>182</v>
      </c>
      <c r="D8" s="20" t="s">
        <v>187</v>
      </c>
      <c r="E8" s="20" t="s">
        <v>188</v>
      </c>
      <c r="F8" s="28" t="s">
        <v>189</v>
      </c>
      <c r="G8" s="28" t="s">
        <v>190</v>
      </c>
      <c r="H8" s="28"/>
      <c r="I8" s="29" t="s">
        <v>15</v>
      </c>
      <c r="J8" s="30">
        <v>0</v>
      </c>
      <c r="K8" s="31"/>
      <c r="L8" s="31"/>
    </row>
    <row r="9" spans="2:12" ht="54" customHeight="1" x14ac:dyDescent="0.35">
      <c r="B9" s="20">
        <v>3</v>
      </c>
      <c r="C9" s="20" t="s">
        <v>182</v>
      </c>
      <c r="D9" s="20" t="s">
        <v>191</v>
      </c>
      <c r="E9" s="20" t="s">
        <v>192</v>
      </c>
      <c r="F9" s="28" t="s">
        <v>193</v>
      </c>
      <c r="G9" s="28" t="s">
        <v>194</v>
      </c>
      <c r="H9" s="28"/>
      <c r="I9" s="29" t="s">
        <v>15</v>
      </c>
      <c r="J9" s="30">
        <v>0</v>
      </c>
      <c r="K9" s="31"/>
      <c r="L9" s="31"/>
    </row>
    <row r="10" spans="2:12" ht="54" customHeight="1" x14ac:dyDescent="0.35">
      <c r="B10" s="20">
        <v>4</v>
      </c>
      <c r="C10" s="20" t="s">
        <v>182</v>
      </c>
      <c r="D10" s="20" t="s">
        <v>195</v>
      </c>
      <c r="E10" s="20" t="s">
        <v>196</v>
      </c>
      <c r="F10" s="28" t="s">
        <v>197</v>
      </c>
      <c r="G10" s="28" t="s">
        <v>198</v>
      </c>
      <c r="H10" s="28"/>
      <c r="I10" s="29" t="s">
        <v>15</v>
      </c>
      <c r="J10" s="30">
        <v>0</v>
      </c>
      <c r="K10" s="31"/>
      <c r="L10" s="31"/>
    </row>
    <row r="11" spans="2:12" ht="54" customHeight="1" x14ac:dyDescent="0.35">
      <c r="B11" s="20">
        <v>5</v>
      </c>
      <c r="C11" s="20" t="s">
        <v>182</v>
      </c>
      <c r="D11" s="20" t="s">
        <v>199</v>
      </c>
      <c r="E11" s="20" t="s">
        <v>200</v>
      </c>
      <c r="F11" s="28" t="s">
        <v>197</v>
      </c>
      <c r="G11" s="28" t="s">
        <v>198</v>
      </c>
      <c r="H11" s="28"/>
      <c r="I11" s="29" t="s">
        <v>15</v>
      </c>
      <c r="J11" s="30">
        <v>0</v>
      </c>
      <c r="K11" s="31"/>
      <c r="L11" s="31"/>
    </row>
    <row r="12" spans="2:12" ht="54" customHeight="1" x14ac:dyDescent="0.35">
      <c r="B12" s="20">
        <v>6</v>
      </c>
      <c r="C12" s="20" t="s">
        <v>201</v>
      </c>
      <c r="D12" s="20" t="s">
        <v>183</v>
      </c>
      <c r="E12" s="20" t="s">
        <v>202</v>
      </c>
      <c r="F12" s="28" t="s">
        <v>203</v>
      </c>
      <c r="G12" s="28" t="s">
        <v>204</v>
      </c>
      <c r="H12" s="28"/>
      <c r="I12" s="29" t="s">
        <v>15</v>
      </c>
      <c r="J12" s="30">
        <v>0</v>
      </c>
      <c r="K12" s="31"/>
      <c r="L12" s="31"/>
    </row>
    <row r="13" spans="2:12" ht="54" customHeight="1" x14ac:dyDescent="0.35">
      <c r="B13" s="20">
        <v>7</v>
      </c>
      <c r="C13" s="20" t="s">
        <v>201</v>
      </c>
      <c r="D13" s="20" t="s">
        <v>187</v>
      </c>
      <c r="E13" s="20" t="s">
        <v>205</v>
      </c>
      <c r="F13" s="28" t="s">
        <v>203</v>
      </c>
      <c r="G13" s="28" t="s">
        <v>204</v>
      </c>
      <c r="H13" s="28"/>
      <c r="I13" s="29" t="s">
        <v>15</v>
      </c>
      <c r="J13" s="30">
        <v>0</v>
      </c>
      <c r="K13" s="31"/>
      <c r="L13" s="31"/>
    </row>
    <row r="14" spans="2:12" ht="54" customHeight="1" x14ac:dyDescent="0.35">
      <c r="B14" s="20">
        <v>8</v>
      </c>
      <c r="C14" s="20" t="s">
        <v>201</v>
      </c>
      <c r="D14" s="20" t="s">
        <v>191</v>
      </c>
      <c r="E14" s="20" t="s">
        <v>206</v>
      </c>
      <c r="F14" s="28" t="s">
        <v>207</v>
      </c>
      <c r="G14" s="28" t="s">
        <v>208</v>
      </c>
      <c r="H14" s="28"/>
      <c r="I14" s="29" t="s">
        <v>15</v>
      </c>
      <c r="J14" s="30">
        <v>0</v>
      </c>
      <c r="K14" s="31"/>
      <c r="L14" s="31"/>
    </row>
    <row r="15" spans="2:12" ht="54" customHeight="1" x14ac:dyDescent="0.35">
      <c r="B15" s="20">
        <v>9</v>
      </c>
      <c r="C15" s="20" t="s">
        <v>201</v>
      </c>
      <c r="D15" s="20" t="s">
        <v>195</v>
      </c>
      <c r="E15" s="20" t="s">
        <v>209</v>
      </c>
      <c r="F15" s="28" t="s">
        <v>210</v>
      </c>
      <c r="G15" s="28" t="s">
        <v>211</v>
      </c>
      <c r="H15" s="28"/>
      <c r="I15" s="29" t="s">
        <v>15</v>
      </c>
      <c r="J15" s="30">
        <v>0</v>
      </c>
      <c r="K15" s="31"/>
      <c r="L15" s="31"/>
    </row>
    <row r="16" spans="2:12" ht="54" customHeight="1" x14ac:dyDescent="0.35">
      <c r="B16" s="20">
        <v>10</v>
      </c>
      <c r="C16" s="20" t="s">
        <v>201</v>
      </c>
      <c r="D16" s="20" t="s">
        <v>199</v>
      </c>
      <c r="E16" s="20" t="s">
        <v>212</v>
      </c>
      <c r="F16" s="28" t="s">
        <v>213</v>
      </c>
      <c r="G16" s="28" t="s">
        <v>214</v>
      </c>
      <c r="H16" s="28"/>
      <c r="I16" s="29" t="s">
        <v>15</v>
      </c>
      <c r="J16" s="30">
        <v>0</v>
      </c>
      <c r="K16" s="31"/>
      <c r="L16" s="31"/>
    </row>
    <row r="17" spans="2:12" ht="54" customHeight="1" x14ac:dyDescent="0.35">
      <c r="B17" s="20">
        <v>11</v>
      </c>
      <c r="C17" s="20" t="s">
        <v>215</v>
      </c>
      <c r="D17" s="20" t="s">
        <v>183</v>
      </c>
      <c r="E17" s="20" t="s">
        <v>216</v>
      </c>
      <c r="F17" s="28" t="s">
        <v>217</v>
      </c>
      <c r="G17" s="28" t="s">
        <v>218</v>
      </c>
      <c r="H17" s="28"/>
      <c r="I17" s="29" t="s">
        <v>15</v>
      </c>
      <c r="J17" s="30">
        <v>0</v>
      </c>
      <c r="K17" s="31"/>
      <c r="L17" s="31"/>
    </row>
    <row r="18" spans="2:12" ht="54" customHeight="1" x14ac:dyDescent="0.35">
      <c r="B18" s="20">
        <v>12</v>
      </c>
      <c r="C18" s="20" t="s">
        <v>215</v>
      </c>
      <c r="D18" s="20" t="s">
        <v>187</v>
      </c>
      <c r="E18" s="20" t="s">
        <v>219</v>
      </c>
      <c r="F18" s="28" t="s">
        <v>220</v>
      </c>
      <c r="G18" s="28" t="s">
        <v>221</v>
      </c>
      <c r="H18" s="28"/>
      <c r="I18" s="29" t="s">
        <v>15</v>
      </c>
      <c r="J18" s="30">
        <v>0</v>
      </c>
      <c r="K18" s="31"/>
      <c r="L18" s="31"/>
    </row>
    <row r="19" spans="2:12" ht="54" customHeight="1" x14ac:dyDescent="0.35">
      <c r="B19" s="20">
        <v>13</v>
      </c>
      <c r="C19" s="20" t="s">
        <v>215</v>
      </c>
      <c r="D19" s="20" t="s">
        <v>191</v>
      </c>
      <c r="E19" s="20" t="s">
        <v>222</v>
      </c>
      <c r="F19" s="28" t="s">
        <v>223</v>
      </c>
      <c r="G19" s="28" t="s">
        <v>224</v>
      </c>
      <c r="H19" s="28"/>
      <c r="I19" s="29" t="s">
        <v>19</v>
      </c>
      <c r="J19" s="30">
        <v>0</v>
      </c>
      <c r="K19" s="31"/>
      <c r="L19" s="31"/>
    </row>
    <row r="20" spans="2:12" ht="54" customHeight="1" x14ac:dyDescent="0.35">
      <c r="B20" s="20">
        <v>14</v>
      </c>
      <c r="C20" s="20" t="s">
        <v>215</v>
      </c>
      <c r="D20" s="20" t="s">
        <v>195</v>
      </c>
      <c r="E20" s="20" t="s">
        <v>225</v>
      </c>
      <c r="F20" s="28" t="s">
        <v>226</v>
      </c>
      <c r="G20" s="28" t="s">
        <v>227</v>
      </c>
      <c r="H20" s="28"/>
      <c r="I20" s="29" t="s">
        <v>15</v>
      </c>
      <c r="J20" s="30">
        <v>0</v>
      </c>
      <c r="K20" s="31"/>
      <c r="L20" s="31"/>
    </row>
    <row r="21" spans="2:12" ht="54" customHeight="1" x14ac:dyDescent="0.35">
      <c r="B21" s="20">
        <v>15</v>
      </c>
      <c r="C21" s="20" t="s">
        <v>215</v>
      </c>
      <c r="D21" s="20" t="s">
        <v>199</v>
      </c>
      <c r="E21" s="20" t="s">
        <v>228</v>
      </c>
      <c r="F21" s="28" t="s">
        <v>229</v>
      </c>
      <c r="G21" s="28" t="s">
        <v>230</v>
      </c>
      <c r="H21" s="28"/>
      <c r="I21" s="29" t="s">
        <v>15</v>
      </c>
      <c r="J21" s="30">
        <v>0</v>
      </c>
      <c r="K21" s="31"/>
      <c r="L21" s="31"/>
    </row>
    <row r="22" spans="2:12" ht="54" customHeight="1" x14ac:dyDescent="0.35">
      <c r="B22" s="20">
        <v>16</v>
      </c>
      <c r="C22" s="20" t="s">
        <v>231</v>
      </c>
      <c r="D22" s="20" t="s">
        <v>183</v>
      </c>
      <c r="E22" s="20" t="s">
        <v>232</v>
      </c>
      <c r="F22" s="28" t="s">
        <v>233</v>
      </c>
      <c r="G22" s="28" t="s">
        <v>234</v>
      </c>
      <c r="H22" s="28"/>
      <c r="I22" s="29" t="s">
        <v>15</v>
      </c>
      <c r="J22" s="30">
        <v>0</v>
      </c>
      <c r="K22" s="31"/>
      <c r="L22" s="31"/>
    </row>
    <row r="23" spans="2:12" ht="67" customHeight="1" x14ac:dyDescent="0.35">
      <c r="B23" s="20">
        <v>17</v>
      </c>
      <c r="C23" s="20" t="s">
        <v>231</v>
      </c>
      <c r="D23" s="20" t="s">
        <v>187</v>
      </c>
      <c r="E23" s="20" t="s">
        <v>235</v>
      </c>
      <c r="F23" s="28" t="s">
        <v>236</v>
      </c>
      <c r="G23" s="28" t="s">
        <v>237</v>
      </c>
      <c r="H23" s="28"/>
      <c r="I23" s="29" t="s">
        <v>15</v>
      </c>
      <c r="J23" s="30">
        <v>0</v>
      </c>
      <c r="K23" s="31"/>
      <c r="L23" s="31"/>
    </row>
    <row r="24" spans="2:12" ht="93" customHeight="1" x14ac:dyDescent="0.35">
      <c r="B24" s="20">
        <v>18</v>
      </c>
      <c r="C24" s="20" t="s">
        <v>231</v>
      </c>
      <c r="D24" s="20" t="s">
        <v>191</v>
      </c>
      <c r="E24" s="20" t="s">
        <v>238</v>
      </c>
      <c r="F24" s="28" t="s">
        <v>239</v>
      </c>
      <c r="G24" s="28" t="s">
        <v>240</v>
      </c>
      <c r="H24" s="28"/>
      <c r="I24" s="29" t="s">
        <v>15</v>
      </c>
      <c r="J24" s="30">
        <v>0</v>
      </c>
      <c r="K24" s="31"/>
      <c r="L24" s="31"/>
    </row>
    <row r="25" spans="2:12" ht="93.5" customHeight="1" x14ac:dyDescent="0.35">
      <c r="B25" s="20">
        <v>19</v>
      </c>
      <c r="C25" s="20" t="s">
        <v>231</v>
      </c>
      <c r="D25" s="20" t="s">
        <v>195</v>
      </c>
      <c r="E25" s="20" t="s">
        <v>241</v>
      </c>
      <c r="F25" s="28" t="s">
        <v>239</v>
      </c>
      <c r="G25" s="28" t="s">
        <v>240</v>
      </c>
      <c r="H25" s="28"/>
      <c r="I25" s="29" t="s">
        <v>15</v>
      </c>
      <c r="J25" s="30">
        <v>0</v>
      </c>
      <c r="K25" s="31"/>
      <c r="L25" s="31"/>
    </row>
    <row r="26" spans="2:12" ht="64" customHeight="1" x14ac:dyDescent="0.35">
      <c r="B26" s="20">
        <v>20</v>
      </c>
      <c r="C26" s="20" t="s">
        <v>231</v>
      </c>
      <c r="D26" s="20" t="s">
        <v>199</v>
      </c>
      <c r="E26" s="20" t="s">
        <v>242</v>
      </c>
      <c r="F26" s="28" t="s">
        <v>243</v>
      </c>
      <c r="G26" s="28" t="s">
        <v>244</v>
      </c>
      <c r="H26" s="28"/>
      <c r="I26" s="29" t="s">
        <v>15</v>
      </c>
      <c r="J26" s="30">
        <v>0</v>
      </c>
      <c r="K26" s="31"/>
      <c r="L26" s="31"/>
    </row>
    <row r="27" spans="2:12" ht="54" customHeight="1" x14ac:dyDescent="0.35">
      <c r="B27" s="20">
        <v>21</v>
      </c>
      <c r="C27" s="20" t="s">
        <v>245</v>
      </c>
      <c r="D27" s="20" t="s">
        <v>183</v>
      </c>
      <c r="E27" s="20" t="s">
        <v>246</v>
      </c>
      <c r="F27" s="28" t="s">
        <v>247</v>
      </c>
      <c r="G27" s="28" t="s">
        <v>248</v>
      </c>
      <c r="H27" s="28"/>
      <c r="I27" s="29" t="s">
        <v>15</v>
      </c>
      <c r="J27" s="30">
        <v>0</v>
      </c>
      <c r="K27" s="31"/>
      <c r="L27" s="31"/>
    </row>
    <row r="28" spans="2:12" ht="54" customHeight="1" x14ac:dyDescent="0.35">
      <c r="B28" s="20">
        <v>22</v>
      </c>
      <c r="C28" s="20" t="s">
        <v>245</v>
      </c>
      <c r="D28" s="20" t="s">
        <v>187</v>
      </c>
      <c r="E28" s="20" t="s">
        <v>249</v>
      </c>
      <c r="F28" s="28" t="s">
        <v>250</v>
      </c>
      <c r="G28" s="28" t="s">
        <v>251</v>
      </c>
      <c r="H28" s="28"/>
      <c r="I28" s="29" t="s">
        <v>15</v>
      </c>
      <c r="J28" s="30">
        <v>0</v>
      </c>
      <c r="K28" s="31"/>
      <c r="L28" s="31"/>
    </row>
    <row r="29" spans="2:12" ht="54" customHeight="1" x14ac:dyDescent="0.35">
      <c r="B29" s="20">
        <v>23</v>
      </c>
      <c r="C29" s="20" t="s">
        <v>245</v>
      </c>
      <c r="D29" s="20" t="s">
        <v>191</v>
      </c>
      <c r="E29" s="20" t="s">
        <v>252</v>
      </c>
      <c r="F29" s="28" t="s">
        <v>253</v>
      </c>
      <c r="G29" s="28" t="s">
        <v>254</v>
      </c>
      <c r="H29" s="28"/>
      <c r="I29" s="29" t="s">
        <v>15</v>
      </c>
      <c r="J29" s="30">
        <v>0</v>
      </c>
      <c r="K29" s="31"/>
      <c r="L29" s="31"/>
    </row>
    <row r="30" spans="2:12" ht="54" customHeight="1" x14ac:dyDescent="0.35">
      <c r="B30" s="20">
        <v>24</v>
      </c>
      <c r="C30" s="20" t="s">
        <v>245</v>
      </c>
      <c r="D30" s="20" t="s">
        <v>195</v>
      </c>
      <c r="E30" s="20" t="s">
        <v>255</v>
      </c>
      <c r="F30" s="28" t="s">
        <v>256</v>
      </c>
      <c r="G30" s="28" t="s">
        <v>257</v>
      </c>
      <c r="H30" s="28"/>
      <c r="I30" s="29" t="s">
        <v>15</v>
      </c>
      <c r="J30" s="30">
        <v>0</v>
      </c>
      <c r="K30" s="31"/>
      <c r="L30" s="31"/>
    </row>
    <row r="31" spans="2:12" ht="54" customHeight="1" x14ac:dyDescent="0.35">
      <c r="B31" s="20">
        <v>25</v>
      </c>
      <c r="C31" s="20" t="s">
        <v>245</v>
      </c>
      <c r="D31" s="20" t="s">
        <v>199</v>
      </c>
      <c r="E31" s="20" t="s">
        <v>258</v>
      </c>
      <c r="F31" s="28" t="s">
        <v>259</v>
      </c>
      <c r="G31" s="28" t="s">
        <v>260</v>
      </c>
      <c r="H31" s="28"/>
      <c r="I31" s="29" t="s">
        <v>15</v>
      </c>
      <c r="J31" s="30">
        <v>0</v>
      </c>
      <c r="K31" s="31"/>
      <c r="L31" s="31"/>
    </row>
    <row r="32" spans="2:12" ht="54" customHeight="1" x14ac:dyDescent="0.35">
      <c r="B32" s="20">
        <v>26</v>
      </c>
      <c r="C32" s="20" t="s">
        <v>261</v>
      </c>
      <c r="D32" s="20" t="s">
        <v>183</v>
      </c>
      <c r="E32" s="20" t="s">
        <v>262</v>
      </c>
      <c r="F32" s="28" t="s">
        <v>263</v>
      </c>
      <c r="G32" s="28" t="s">
        <v>264</v>
      </c>
      <c r="H32" s="28"/>
      <c r="I32" s="29" t="s">
        <v>15</v>
      </c>
      <c r="J32" s="30">
        <v>0</v>
      </c>
      <c r="K32" s="31"/>
      <c r="L32" s="31"/>
    </row>
    <row r="33" spans="2:12" ht="54" customHeight="1" x14ac:dyDescent="0.35">
      <c r="B33" s="20">
        <v>27</v>
      </c>
      <c r="C33" s="20" t="s">
        <v>261</v>
      </c>
      <c r="D33" s="20" t="s">
        <v>187</v>
      </c>
      <c r="E33" s="20" t="s">
        <v>265</v>
      </c>
      <c r="F33" s="28" t="s">
        <v>266</v>
      </c>
      <c r="G33" s="28" t="s">
        <v>267</v>
      </c>
      <c r="H33" s="28"/>
      <c r="I33" s="29" t="s">
        <v>15</v>
      </c>
      <c r="J33" s="30">
        <v>0</v>
      </c>
      <c r="K33" s="31"/>
      <c r="L33" s="31"/>
    </row>
    <row r="34" spans="2:12" ht="54" customHeight="1" x14ac:dyDescent="0.35">
      <c r="B34" s="20">
        <v>28</v>
      </c>
      <c r="C34" s="20" t="s">
        <v>261</v>
      </c>
      <c r="D34" s="20" t="s">
        <v>191</v>
      </c>
      <c r="E34" s="20" t="s">
        <v>268</v>
      </c>
      <c r="F34" s="28" t="s">
        <v>269</v>
      </c>
      <c r="G34" s="28" t="s">
        <v>270</v>
      </c>
      <c r="H34" s="28"/>
      <c r="I34" s="29" t="s">
        <v>15</v>
      </c>
      <c r="J34" s="30">
        <v>0</v>
      </c>
      <c r="K34" s="31"/>
      <c r="L34" s="31"/>
    </row>
    <row r="35" spans="2:12" ht="54" customHeight="1" x14ac:dyDescent="0.35">
      <c r="B35" s="20">
        <v>29</v>
      </c>
      <c r="C35" s="20" t="s">
        <v>261</v>
      </c>
      <c r="D35" s="20" t="s">
        <v>195</v>
      </c>
      <c r="E35" s="20" t="s">
        <v>271</v>
      </c>
      <c r="F35" s="28" t="s">
        <v>272</v>
      </c>
      <c r="G35" s="28" t="s">
        <v>273</v>
      </c>
      <c r="H35" s="28"/>
      <c r="I35" s="29" t="s">
        <v>15</v>
      </c>
      <c r="J35" s="30">
        <v>0</v>
      </c>
      <c r="K35" s="31"/>
      <c r="L35" s="31"/>
    </row>
    <row r="36" spans="2:12" ht="54" customHeight="1" x14ac:dyDescent="0.35">
      <c r="B36" s="20">
        <v>30</v>
      </c>
      <c r="C36" s="20" t="s">
        <v>261</v>
      </c>
      <c r="D36" s="20" t="s">
        <v>199</v>
      </c>
      <c r="E36" s="20" t="s">
        <v>274</v>
      </c>
      <c r="F36" s="28" t="s">
        <v>275</v>
      </c>
      <c r="G36" s="28" t="s">
        <v>276</v>
      </c>
      <c r="H36" s="28"/>
      <c r="I36" s="29" t="s">
        <v>15</v>
      </c>
      <c r="J36" s="30">
        <v>0</v>
      </c>
      <c r="K36" s="31"/>
      <c r="L36" s="31"/>
    </row>
    <row r="37" spans="2:12" ht="54" customHeight="1" x14ac:dyDescent="0.35">
      <c r="B37" s="20">
        <v>31</v>
      </c>
      <c r="C37" s="20" t="s">
        <v>277</v>
      </c>
      <c r="D37" s="20" t="s">
        <v>183</v>
      </c>
      <c r="E37" s="20" t="s">
        <v>278</v>
      </c>
      <c r="F37" s="28" t="s">
        <v>279</v>
      </c>
      <c r="G37" s="28" t="s">
        <v>280</v>
      </c>
      <c r="H37" s="28"/>
      <c r="I37" s="29" t="s">
        <v>15</v>
      </c>
      <c r="J37" s="30">
        <v>0</v>
      </c>
      <c r="K37" s="31"/>
      <c r="L37" s="31"/>
    </row>
    <row r="38" spans="2:12" ht="54" customHeight="1" x14ac:dyDescent="0.35">
      <c r="B38" s="20">
        <v>32</v>
      </c>
      <c r="C38" s="20" t="s">
        <v>277</v>
      </c>
      <c r="D38" s="20" t="s">
        <v>187</v>
      </c>
      <c r="E38" s="20" t="s">
        <v>281</v>
      </c>
      <c r="F38" s="28" t="s">
        <v>282</v>
      </c>
      <c r="G38" s="28" t="s">
        <v>283</v>
      </c>
      <c r="H38" s="28"/>
      <c r="I38" s="29" t="s">
        <v>15</v>
      </c>
      <c r="J38" s="30">
        <v>0</v>
      </c>
      <c r="K38" s="31"/>
      <c r="L38" s="31"/>
    </row>
    <row r="39" spans="2:12" ht="54" customHeight="1" x14ac:dyDescent="0.35">
      <c r="B39" s="20">
        <v>33</v>
      </c>
      <c r="C39" s="20" t="s">
        <v>277</v>
      </c>
      <c r="D39" s="20" t="s">
        <v>191</v>
      </c>
      <c r="E39" s="20" t="s">
        <v>284</v>
      </c>
      <c r="F39" s="28" t="s">
        <v>285</v>
      </c>
      <c r="G39" s="28" t="s">
        <v>286</v>
      </c>
      <c r="H39" s="28"/>
      <c r="I39" s="29" t="s">
        <v>15</v>
      </c>
      <c r="J39" s="30">
        <v>0</v>
      </c>
      <c r="K39" s="31"/>
      <c r="L39" s="31"/>
    </row>
    <row r="40" spans="2:12" ht="29" x14ac:dyDescent="0.35">
      <c r="B40" s="20">
        <v>34</v>
      </c>
      <c r="C40" s="20" t="s">
        <v>277</v>
      </c>
      <c r="D40" s="20" t="s">
        <v>195</v>
      </c>
      <c r="E40" s="20" t="s">
        <v>287</v>
      </c>
      <c r="F40" s="28" t="s">
        <v>288</v>
      </c>
      <c r="G40" s="28" t="s">
        <v>289</v>
      </c>
      <c r="H40" s="28"/>
      <c r="I40" s="29" t="s">
        <v>15</v>
      </c>
      <c r="J40" s="30">
        <v>0</v>
      </c>
      <c r="K40" s="31"/>
      <c r="L40" s="31"/>
    </row>
    <row r="41" spans="2:12" ht="29" x14ac:dyDescent="0.35">
      <c r="B41" s="20">
        <v>35</v>
      </c>
      <c r="C41" s="20" t="s">
        <v>277</v>
      </c>
      <c r="D41" s="20" t="s">
        <v>199</v>
      </c>
      <c r="E41" s="20" t="s">
        <v>290</v>
      </c>
      <c r="F41" s="28" t="s">
        <v>288</v>
      </c>
      <c r="G41" s="28" t="s">
        <v>289</v>
      </c>
      <c r="H41" s="28"/>
      <c r="I41" s="29" t="s">
        <v>15</v>
      </c>
      <c r="J41" s="30">
        <v>0</v>
      </c>
      <c r="K41" s="31"/>
      <c r="L41" s="31"/>
    </row>
  </sheetData>
  <mergeCells count="2">
    <mergeCell ref="B5:L5"/>
    <mergeCell ref="B4:L4"/>
  </mergeCells>
  <conditionalFormatting sqref="I7:I41">
    <cfRule type="expression" dxfId="13" priority="2">
      <formula>$I7="Selesai"</formula>
    </cfRule>
    <cfRule type="expression" dxfId="12" priority="3">
      <formula>$I7="Berjalan"</formula>
    </cfRule>
    <cfRule type="expression" dxfId="11" priority="4">
      <formula>$I7="Terlambat"</formula>
    </cfRule>
    <cfRule type="expression" dxfId="10" priority="5">
      <formula>$I7="Belum Mulai"</formula>
    </cfRule>
    <cfRule type="expression" dxfId="9" priority="6">
      <formula>$I7="Selesai"</formula>
    </cfRule>
    <cfRule type="expression" dxfId="8" priority="7">
      <formula>$I7="Berjalan"</formula>
    </cfRule>
    <cfRule type="expression" dxfId="7" priority="8">
      <formula>$I7="Terlambat"</formula>
    </cfRule>
  </conditionalFormatting>
  <conditionalFormatting sqref="J7:J41">
    <cfRule type="dataBar" priority="1">
      <dataBar>
        <cfvo type="num" val="0"/>
        <cfvo type="num" val="1"/>
        <color rgb="FF63C384"/>
      </dataBar>
    </cfRule>
  </conditionalFormatting>
  <dataValidations count="2">
    <dataValidation type="list" sqref="I7:I41 L5:L35" xr:uid="{00000000-0002-0000-0200-000000000000}">
      <formula1>"Belum Mulai,Berjalan,Selesai,Terlambat"</formula1>
    </dataValidation>
    <dataValidation type="list" allowBlank="1" sqref="I7:I41" xr:uid="{00000000-0002-0000-0200-000001000000}">
      <formula1>"Belum Mulai,Berjalan,Selesai,Terlambat"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67AC-53DB-4314-98E8-8F3C25C9BD12}">
  <sheetPr>
    <tabColor rgb="FFFFFF00"/>
  </sheetPr>
  <dimension ref="A1:N43"/>
  <sheetViews>
    <sheetView workbookViewId="0"/>
  </sheetViews>
  <sheetFormatPr defaultRowHeight="14.5" x14ac:dyDescent="0.35"/>
  <cols>
    <col min="1" max="1" width="6.1796875" style="21" customWidth="1"/>
    <col min="2" max="2" width="16.36328125" customWidth="1"/>
    <col min="3" max="3" width="15.453125" customWidth="1"/>
    <col min="4" max="4" width="12.6328125" customWidth="1"/>
    <col min="5" max="5" width="16.6328125" customWidth="1"/>
    <col min="6" max="6" width="25.7265625" customWidth="1"/>
    <col min="7" max="7" width="10.90625" customWidth="1"/>
    <col min="8" max="8" width="15.26953125" customWidth="1"/>
    <col min="9" max="9" width="15.6328125" customWidth="1"/>
    <col min="10" max="10" width="27.54296875" customWidth="1"/>
    <col min="11" max="14" width="8.7265625" style="21"/>
  </cols>
  <sheetData>
    <row r="1" spans="2:10" s="21" customFormat="1" x14ac:dyDescent="0.35"/>
    <row r="2" spans="2:10" s="21" customFormat="1" x14ac:dyDescent="0.35"/>
    <row r="3" spans="2:10" s="21" customFormat="1" x14ac:dyDescent="0.35"/>
    <row r="4" spans="2:10" s="21" customFormat="1" x14ac:dyDescent="0.35"/>
    <row r="5" spans="2:10" ht="47.5" customHeight="1" thickBot="1" x14ac:dyDescent="0.4">
      <c r="B5" s="48" t="s">
        <v>551</v>
      </c>
      <c r="C5" s="48" t="s">
        <v>552</v>
      </c>
      <c r="D5" s="48" t="s">
        <v>562</v>
      </c>
      <c r="E5" s="48" t="s">
        <v>553</v>
      </c>
      <c r="F5" s="48" t="s">
        <v>554</v>
      </c>
      <c r="G5" s="48" t="s">
        <v>555</v>
      </c>
      <c r="H5" s="48" t="s">
        <v>556</v>
      </c>
      <c r="I5" s="48" t="s">
        <v>557</v>
      </c>
      <c r="J5" s="48" t="s">
        <v>558</v>
      </c>
    </row>
    <row r="6" spans="2:10" ht="15" thickTop="1" x14ac:dyDescent="0.35">
      <c r="B6" s="47"/>
      <c r="C6" s="47"/>
      <c r="D6" s="47"/>
      <c r="E6" s="47"/>
      <c r="F6" s="47"/>
      <c r="G6" s="47"/>
      <c r="H6" s="47"/>
      <c r="I6" s="47"/>
      <c r="J6" s="47"/>
    </row>
    <row r="7" spans="2:10" x14ac:dyDescent="0.35">
      <c r="B7" s="16"/>
      <c r="C7" s="16"/>
      <c r="D7" s="16"/>
      <c r="E7" s="16"/>
      <c r="F7" s="16"/>
      <c r="G7" s="16"/>
      <c r="H7" s="16"/>
      <c r="I7" s="16"/>
      <c r="J7" s="16"/>
    </row>
    <row r="8" spans="2:10" x14ac:dyDescent="0.35">
      <c r="B8" s="16"/>
      <c r="C8" s="16"/>
      <c r="D8" s="16"/>
      <c r="E8" s="16"/>
      <c r="F8" s="16"/>
      <c r="G8" s="16"/>
      <c r="H8" s="16"/>
      <c r="I8" s="16"/>
      <c r="J8" s="16"/>
    </row>
    <row r="9" spans="2:10" x14ac:dyDescent="0.35">
      <c r="B9" s="16"/>
      <c r="C9" s="16"/>
      <c r="D9" s="16"/>
      <c r="E9" s="16"/>
      <c r="F9" s="16"/>
      <c r="G9" s="16"/>
      <c r="H9" s="16"/>
      <c r="I9" s="16"/>
      <c r="J9" s="16"/>
    </row>
    <row r="10" spans="2:10" x14ac:dyDescent="0.35">
      <c r="B10" s="16"/>
      <c r="C10" s="16"/>
      <c r="D10" s="16"/>
      <c r="E10" s="16"/>
      <c r="F10" s="16"/>
      <c r="G10" s="16"/>
      <c r="H10" s="16"/>
      <c r="I10" s="16"/>
      <c r="J10" s="16"/>
    </row>
    <row r="11" spans="2:10" x14ac:dyDescent="0.35">
      <c r="B11" s="16"/>
      <c r="C11" s="16"/>
      <c r="D11" s="16"/>
      <c r="E11" s="16"/>
      <c r="F11" s="16"/>
      <c r="G11" s="16"/>
      <c r="H11" s="16"/>
      <c r="I11" s="16"/>
      <c r="J11" s="16"/>
    </row>
    <row r="12" spans="2:10" x14ac:dyDescent="0.35">
      <c r="B12" s="16"/>
      <c r="C12" s="16"/>
      <c r="D12" s="16"/>
      <c r="E12" s="16"/>
      <c r="F12" s="16"/>
      <c r="G12" s="16"/>
      <c r="H12" s="16"/>
      <c r="I12" s="16"/>
      <c r="J12" s="16"/>
    </row>
    <row r="13" spans="2:10" x14ac:dyDescent="0.35">
      <c r="B13" s="16"/>
      <c r="C13" s="16"/>
      <c r="D13" s="16"/>
      <c r="E13" s="16"/>
      <c r="F13" s="16"/>
      <c r="G13" s="16"/>
      <c r="H13" s="16"/>
      <c r="I13" s="16"/>
      <c r="J13" s="16"/>
    </row>
    <row r="14" spans="2:10" x14ac:dyDescent="0.35">
      <c r="B14" s="16"/>
      <c r="C14" s="16"/>
      <c r="D14" s="16"/>
      <c r="E14" s="16"/>
      <c r="F14" s="16"/>
      <c r="G14" s="16"/>
      <c r="H14" s="16"/>
      <c r="I14" s="16"/>
      <c r="J14" s="16"/>
    </row>
    <row r="15" spans="2:10" x14ac:dyDescent="0.35">
      <c r="B15" s="16"/>
      <c r="C15" s="16"/>
      <c r="D15" s="16"/>
      <c r="E15" s="16"/>
      <c r="F15" s="16"/>
      <c r="G15" s="16"/>
      <c r="H15" s="16"/>
      <c r="I15" s="16" t="s">
        <v>559</v>
      </c>
      <c r="J15" s="16"/>
    </row>
    <row r="16" spans="2:10" x14ac:dyDescent="0.35">
      <c r="B16" s="16"/>
      <c r="C16" s="16"/>
      <c r="D16" s="16"/>
      <c r="E16" s="16"/>
      <c r="F16" s="16"/>
      <c r="G16" s="16"/>
      <c r="H16" s="16"/>
      <c r="I16" s="16"/>
      <c r="J16" s="16"/>
    </row>
    <row r="17" spans="2:10" x14ac:dyDescent="0.35">
      <c r="B17" s="16"/>
      <c r="C17" s="16"/>
      <c r="D17" s="16"/>
      <c r="E17" s="16"/>
      <c r="F17" s="16"/>
      <c r="G17" s="16"/>
      <c r="H17" s="16"/>
      <c r="I17" s="16"/>
      <c r="J17" s="16"/>
    </row>
    <row r="18" spans="2:10" x14ac:dyDescent="0.35">
      <c r="B18" s="16"/>
      <c r="C18" s="16"/>
      <c r="D18" s="16"/>
      <c r="E18" s="16"/>
      <c r="F18" s="16"/>
      <c r="G18" s="16"/>
      <c r="H18" s="16"/>
      <c r="I18" s="16"/>
      <c r="J18" s="16"/>
    </row>
    <row r="19" spans="2:10" x14ac:dyDescent="0.35">
      <c r="B19" s="16"/>
      <c r="C19" s="16"/>
      <c r="D19" s="16"/>
      <c r="E19" s="16"/>
      <c r="F19" s="16"/>
      <c r="G19" s="16"/>
      <c r="H19" s="16"/>
      <c r="I19" s="16"/>
      <c r="J19" s="16"/>
    </row>
    <row r="20" spans="2:10" x14ac:dyDescent="0.35">
      <c r="B20" s="16"/>
      <c r="C20" s="16"/>
      <c r="D20" s="16"/>
      <c r="E20" s="16"/>
      <c r="F20" s="16"/>
      <c r="G20" s="16"/>
      <c r="H20" s="16"/>
      <c r="I20" s="16"/>
      <c r="J20" s="16"/>
    </row>
    <row r="21" spans="2:10" x14ac:dyDescent="0.35">
      <c r="B21" s="16"/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16"/>
      <c r="C22" s="16"/>
      <c r="D22" s="16"/>
      <c r="E22" s="16"/>
      <c r="F22" s="16"/>
      <c r="G22" s="16"/>
      <c r="H22" s="16"/>
      <c r="I22" s="16"/>
      <c r="J22" s="16"/>
    </row>
    <row r="23" spans="2:10" x14ac:dyDescent="0.35">
      <c r="B23" s="16"/>
      <c r="C23" s="16"/>
      <c r="D23" s="16"/>
      <c r="E23" s="16"/>
      <c r="F23" s="16"/>
      <c r="G23" s="16"/>
      <c r="H23" s="16"/>
      <c r="I23" s="16"/>
      <c r="J23" s="16"/>
    </row>
    <row r="24" spans="2:10" x14ac:dyDescent="0.35">
      <c r="B24" s="16"/>
      <c r="C24" s="16"/>
      <c r="D24" s="16"/>
      <c r="E24" s="16"/>
      <c r="F24" s="16"/>
      <c r="G24" s="16"/>
      <c r="H24" s="16"/>
      <c r="I24" s="16"/>
      <c r="J24" s="16"/>
    </row>
    <row r="25" spans="2:10" x14ac:dyDescent="0.35">
      <c r="B25" s="16"/>
      <c r="C25" s="16"/>
      <c r="D25" s="16"/>
      <c r="E25" s="16"/>
      <c r="F25" s="16"/>
      <c r="G25" s="16"/>
      <c r="H25" s="16"/>
      <c r="I25" s="16"/>
      <c r="J25" s="16"/>
    </row>
    <row r="26" spans="2:10" x14ac:dyDescent="0.35">
      <c r="B26" s="16"/>
      <c r="C26" s="16"/>
      <c r="D26" s="16"/>
      <c r="E26" s="16"/>
      <c r="F26" s="16"/>
      <c r="G26" s="16"/>
      <c r="H26" s="16"/>
      <c r="I26" s="16"/>
      <c r="J26" s="16"/>
    </row>
    <row r="27" spans="2:10" x14ac:dyDescent="0.35">
      <c r="B27" s="16"/>
      <c r="C27" s="16"/>
      <c r="D27" s="16"/>
      <c r="E27" s="16"/>
      <c r="F27" s="16"/>
      <c r="G27" s="16"/>
      <c r="H27" s="16"/>
      <c r="I27" s="16"/>
      <c r="J27" s="16"/>
    </row>
    <row r="28" spans="2:10" x14ac:dyDescent="0.35">
      <c r="B28" s="16"/>
      <c r="C28" s="16"/>
      <c r="D28" s="16"/>
      <c r="E28" s="16"/>
      <c r="F28" s="16"/>
      <c r="G28" s="16"/>
      <c r="H28" s="16"/>
      <c r="I28" s="16"/>
      <c r="J28" s="16"/>
    </row>
    <row r="29" spans="2:10" x14ac:dyDescent="0.35">
      <c r="B29" s="16"/>
      <c r="C29" s="16"/>
      <c r="D29" s="16"/>
      <c r="E29" s="16"/>
      <c r="F29" s="16"/>
      <c r="G29" s="16"/>
      <c r="H29" s="16"/>
      <c r="I29" s="16"/>
      <c r="J29" s="16"/>
    </row>
    <row r="30" spans="2:10" x14ac:dyDescent="0.35">
      <c r="B30" s="16"/>
      <c r="C30" s="16"/>
      <c r="D30" s="16"/>
      <c r="E30" s="16"/>
      <c r="F30" s="16"/>
      <c r="G30" s="16"/>
      <c r="H30" s="16"/>
      <c r="I30" s="16"/>
      <c r="J30" s="16"/>
    </row>
    <row r="31" spans="2:10" x14ac:dyDescent="0.35">
      <c r="B31" s="16"/>
      <c r="C31" s="16"/>
      <c r="D31" s="16"/>
      <c r="E31" s="16"/>
      <c r="F31" s="16"/>
      <c r="G31" s="16"/>
      <c r="H31" s="16"/>
      <c r="I31" s="16"/>
      <c r="J31" s="16"/>
    </row>
    <row r="32" spans="2:10" x14ac:dyDescent="0.35">
      <c r="B32" s="16"/>
      <c r="C32" s="16"/>
      <c r="D32" s="16"/>
      <c r="E32" s="16"/>
      <c r="F32" s="16"/>
      <c r="G32" s="16"/>
      <c r="H32" s="16"/>
      <c r="I32" s="16"/>
      <c r="J32" s="16"/>
    </row>
    <row r="33" spans="2:10" x14ac:dyDescent="0.35">
      <c r="B33" s="16"/>
      <c r="C33" s="16"/>
      <c r="D33" s="16"/>
      <c r="E33" s="16"/>
      <c r="F33" s="16"/>
      <c r="G33" s="16"/>
      <c r="H33" s="16"/>
      <c r="I33" s="16"/>
      <c r="J33" s="16"/>
    </row>
    <row r="34" spans="2:10" x14ac:dyDescent="0.35">
      <c r="B34" s="16"/>
      <c r="C34" s="16"/>
      <c r="D34" s="16"/>
      <c r="E34" s="16"/>
      <c r="F34" s="16"/>
      <c r="G34" s="16"/>
      <c r="H34" s="16"/>
      <c r="I34" s="16"/>
      <c r="J34" s="16"/>
    </row>
    <row r="35" spans="2:10" x14ac:dyDescent="0.35">
      <c r="B35" s="16"/>
      <c r="C35" s="16"/>
      <c r="D35" s="16"/>
      <c r="E35" s="16"/>
      <c r="F35" s="16"/>
      <c r="G35" s="16"/>
      <c r="H35" s="16"/>
      <c r="I35" s="16"/>
      <c r="J35" s="16"/>
    </row>
    <row r="36" spans="2:10" x14ac:dyDescent="0.35">
      <c r="B36" s="16"/>
      <c r="C36" s="16"/>
      <c r="D36" s="16"/>
      <c r="E36" s="16"/>
      <c r="F36" s="16"/>
      <c r="G36" s="16"/>
      <c r="H36" s="16"/>
      <c r="I36" s="16"/>
      <c r="J36" s="16"/>
    </row>
    <row r="37" spans="2:10" x14ac:dyDescent="0.35">
      <c r="B37" s="16"/>
      <c r="C37" s="16"/>
      <c r="D37" s="16"/>
      <c r="E37" s="16"/>
      <c r="F37" s="16"/>
      <c r="G37" s="16"/>
      <c r="H37" s="16"/>
      <c r="I37" s="16"/>
      <c r="J37" s="16"/>
    </row>
    <row r="38" spans="2:10" x14ac:dyDescent="0.35">
      <c r="B38" s="16"/>
      <c r="C38" s="16"/>
      <c r="D38" s="16"/>
      <c r="E38" s="16"/>
      <c r="F38" s="16"/>
      <c r="G38" s="16"/>
      <c r="H38" s="16"/>
      <c r="I38" s="16"/>
      <c r="J38" s="16"/>
    </row>
    <row r="39" spans="2:10" x14ac:dyDescent="0.35">
      <c r="B39" s="16"/>
      <c r="C39" s="16"/>
      <c r="D39" s="16"/>
      <c r="E39" s="16"/>
      <c r="F39" s="16"/>
      <c r="G39" s="16"/>
      <c r="H39" s="16"/>
      <c r="I39" s="16"/>
      <c r="J39" s="16"/>
    </row>
    <row r="40" spans="2:10" x14ac:dyDescent="0.35">
      <c r="B40" s="16"/>
      <c r="C40" s="16"/>
      <c r="D40" s="16"/>
      <c r="E40" s="16"/>
      <c r="F40" s="16"/>
      <c r="G40" s="16"/>
      <c r="H40" s="16"/>
      <c r="I40" s="16"/>
      <c r="J40" s="16"/>
    </row>
    <row r="41" spans="2:10" x14ac:dyDescent="0.35">
      <c r="B41" s="16"/>
      <c r="C41" s="16"/>
      <c r="D41" s="16"/>
      <c r="E41" s="16"/>
      <c r="F41" s="16"/>
      <c r="G41" s="16"/>
      <c r="H41" s="16"/>
      <c r="I41" s="16"/>
      <c r="J41" s="16"/>
    </row>
    <row r="42" spans="2:10" x14ac:dyDescent="0.35">
      <c r="B42" s="16"/>
      <c r="C42" s="16"/>
      <c r="D42" s="16"/>
      <c r="E42" s="16"/>
      <c r="F42" s="16"/>
      <c r="G42" s="16"/>
      <c r="H42" s="16"/>
      <c r="I42" s="16"/>
      <c r="J42" s="16"/>
    </row>
    <row r="43" spans="2:10" x14ac:dyDescent="0.35">
      <c r="B43" s="16"/>
      <c r="C43" s="16"/>
      <c r="D43" s="16"/>
      <c r="E43" s="16"/>
      <c r="F43" s="16"/>
      <c r="G43" s="16"/>
      <c r="H43" s="16"/>
      <c r="I43" s="16"/>
      <c r="J43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C10-109D-401E-AD3E-79EDD798C1B1}">
  <sheetPr>
    <tabColor rgb="FF00B0F0"/>
  </sheetPr>
  <dimension ref="A1:N43"/>
  <sheetViews>
    <sheetView workbookViewId="0">
      <selection activeCell="D13" sqref="D13"/>
    </sheetView>
  </sheetViews>
  <sheetFormatPr defaultRowHeight="14.5" x14ac:dyDescent="0.35"/>
  <cols>
    <col min="1" max="1" width="6.1796875" style="21" customWidth="1"/>
    <col min="2" max="2" width="16.36328125" customWidth="1"/>
    <col min="3" max="3" width="15.453125" customWidth="1"/>
    <col min="4" max="4" width="12.6328125" customWidth="1"/>
    <col min="5" max="5" width="16.6328125" customWidth="1"/>
    <col min="6" max="6" width="25.7265625" customWidth="1"/>
    <col min="7" max="7" width="10.90625" customWidth="1"/>
    <col min="8" max="8" width="15.26953125" customWidth="1"/>
    <col min="9" max="9" width="15.6328125" customWidth="1"/>
    <col min="10" max="10" width="27.54296875" customWidth="1"/>
    <col min="11" max="14" width="8.7265625" style="21"/>
  </cols>
  <sheetData>
    <row r="1" spans="2:10" s="21" customFormat="1" x14ac:dyDescent="0.35"/>
    <row r="2" spans="2:10" s="21" customFormat="1" x14ac:dyDescent="0.35"/>
    <row r="3" spans="2:10" s="21" customFormat="1" x14ac:dyDescent="0.35"/>
    <row r="4" spans="2:10" s="21" customFormat="1" x14ac:dyDescent="0.35"/>
    <row r="5" spans="2:10" ht="47.5" customHeight="1" thickBot="1" x14ac:dyDescent="0.4">
      <c r="B5" s="48" t="s">
        <v>551</v>
      </c>
      <c r="C5" s="48" t="s">
        <v>552</v>
      </c>
      <c r="D5" s="48" t="s">
        <v>562</v>
      </c>
      <c r="E5" s="48" t="s">
        <v>553</v>
      </c>
      <c r="F5" s="48" t="s">
        <v>554</v>
      </c>
      <c r="G5" s="48" t="s">
        <v>555</v>
      </c>
      <c r="H5" s="48" t="s">
        <v>556</v>
      </c>
      <c r="I5" s="48" t="s">
        <v>557</v>
      </c>
      <c r="J5" s="48" t="s">
        <v>558</v>
      </c>
    </row>
    <row r="6" spans="2:10" ht="15" thickTop="1" x14ac:dyDescent="0.35">
      <c r="B6" s="47"/>
      <c r="C6" s="47"/>
      <c r="D6" s="47"/>
      <c r="E6" s="47"/>
      <c r="F6" s="47"/>
      <c r="G6" s="47"/>
      <c r="H6" s="47"/>
      <c r="I6" s="47"/>
      <c r="J6" s="47"/>
    </row>
    <row r="7" spans="2:10" x14ac:dyDescent="0.35">
      <c r="B7" s="16"/>
      <c r="C7" s="16"/>
      <c r="D7" s="16"/>
      <c r="E7" s="16"/>
      <c r="F7" s="16"/>
      <c r="G7" s="16"/>
      <c r="H7" s="16"/>
      <c r="I7" s="16"/>
      <c r="J7" s="16"/>
    </row>
    <row r="8" spans="2:10" x14ac:dyDescent="0.35">
      <c r="B8" s="16"/>
      <c r="C8" s="16"/>
      <c r="D8" s="16"/>
      <c r="E8" s="16"/>
      <c r="F8" s="16"/>
      <c r="G8" s="16"/>
      <c r="H8" s="16"/>
      <c r="I8" s="16"/>
      <c r="J8" s="16"/>
    </row>
    <row r="9" spans="2:10" x14ac:dyDescent="0.35">
      <c r="B9" s="16"/>
      <c r="C9" s="16"/>
      <c r="D9" s="16"/>
      <c r="E9" s="16"/>
      <c r="F9" s="16"/>
      <c r="G9" s="16"/>
      <c r="H9" s="16"/>
      <c r="I9" s="16"/>
      <c r="J9" s="16"/>
    </row>
    <row r="10" spans="2:10" x14ac:dyDescent="0.35">
      <c r="B10" s="16"/>
      <c r="C10" s="16"/>
      <c r="D10" s="16"/>
      <c r="E10" s="16"/>
      <c r="F10" s="16"/>
      <c r="G10" s="16"/>
      <c r="H10" s="16"/>
      <c r="I10" s="16"/>
      <c r="J10" s="16"/>
    </row>
    <row r="11" spans="2:10" x14ac:dyDescent="0.35">
      <c r="B11" s="16"/>
      <c r="C11" s="16"/>
      <c r="D11" s="16"/>
      <c r="E11" s="16"/>
      <c r="F11" s="16"/>
      <c r="G11" s="16"/>
      <c r="H11" s="16"/>
      <c r="I11" s="16"/>
      <c r="J11" s="16"/>
    </row>
    <row r="12" spans="2:10" x14ac:dyDescent="0.35">
      <c r="B12" s="16"/>
      <c r="C12" s="16"/>
      <c r="D12" s="16"/>
      <c r="E12" s="16"/>
      <c r="F12" s="16"/>
      <c r="G12" s="16"/>
      <c r="H12" s="16"/>
      <c r="I12" s="16"/>
      <c r="J12" s="16"/>
    </row>
    <row r="13" spans="2:10" x14ac:dyDescent="0.35">
      <c r="B13" s="16"/>
      <c r="C13" s="16"/>
      <c r="D13" s="16"/>
      <c r="E13" s="16"/>
      <c r="F13" s="16"/>
      <c r="G13" s="16"/>
      <c r="H13" s="16"/>
      <c r="I13" s="16"/>
      <c r="J13" s="16"/>
    </row>
    <row r="14" spans="2:10" x14ac:dyDescent="0.35">
      <c r="B14" s="16"/>
      <c r="C14" s="16"/>
      <c r="D14" s="16"/>
      <c r="E14" s="16"/>
      <c r="F14" s="16"/>
      <c r="G14" s="16"/>
      <c r="H14" s="16"/>
      <c r="I14" s="16"/>
      <c r="J14" s="16"/>
    </row>
    <row r="15" spans="2:10" x14ac:dyDescent="0.35">
      <c r="B15" s="16"/>
      <c r="C15" s="16"/>
      <c r="D15" s="16"/>
      <c r="E15" s="16"/>
      <c r="F15" s="16"/>
      <c r="G15" s="16"/>
      <c r="H15" s="16"/>
      <c r="I15" s="16" t="s">
        <v>559</v>
      </c>
      <c r="J15" s="16"/>
    </row>
    <row r="16" spans="2:10" x14ac:dyDescent="0.35">
      <c r="B16" s="16"/>
      <c r="C16" s="16"/>
      <c r="D16" s="16"/>
      <c r="E16" s="16"/>
      <c r="F16" s="16"/>
      <c r="G16" s="16"/>
      <c r="H16" s="16"/>
      <c r="I16" s="16"/>
      <c r="J16" s="16"/>
    </row>
    <row r="17" spans="2:10" x14ac:dyDescent="0.35">
      <c r="B17" s="16"/>
      <c r="C17" s="16"/>
      <c r="D17" s="16"/>
      <c r="E17" s="16"/>
      <c r="F17" s="16"/>
      <c r="G17" s="16"/>
      <c r="H17" s="16"/>
      <c r="I17" s="16"/>
      <c r="J17" s="16"/>
    </row>
    <row r="18" spans="2:10" x14ac:dyDescent="0.35">
      <c r="B18" s="16"/>
      <c r="C18" s="16"/>
      <c r="D18" s="16"/>
      <c r="E18" s="16"/>
      <c r="F18" s="16"/>
      <c r="G18" s="16"/>
      <c r="H18" s="16"/>
      <c r="I18" s="16"/>
      <c r="J18" s="16"/>
    </row>
    <row r="19" spans="2:10" x14ac:dyDescent="0.35">
      <c r="B19" s="16"/>
      <c r="C19" s="16"/>
      <c r="D19" s="16"/>
      <c r="E19" s="16"/>
      <c r="F19" s="16"/>
      <c r="G19" s="16"/>
      <c r="H19" s="16"/>
      <c r="I19" s="16"/>
      <c r="J19" s="16"/>
    </row>
    <row r="20" spans="2:10" x14ac:dyDescent="0.35">
      <c r="B20" s="16"/>
      <c r="C20" s="16"/>
      <c r="D20" s="16"/>
      <c r="E20" s="16"/>
      <c r="F20" s="16"/>
      <c r="G20" s="16"/>
      <c r="H20" s="16"/>
      <c r="I20" s="16"/>
      <c r="J20" s="16"/>
    </row>
    <row r="21" spans="2:10" x14ac:dyDescent="0.35">
      <c r="B21" s="16"/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16"/>
      <c r="C22" s="16"/>
      <c r="D22" s="16"/>
      <c r="E22" s="16"/>
      <c r="F22" s="16"/>
      <c r="G22" s="16"/>
      <c r="H22" s="16"/>
      <c r="I22" s="16"/>
      <c r="J22" s="16"/>
    </row>
    <row r="23" spans="2:10" x14ac:dyDescent="0.35">
      <c r="B23" s="16"/>
      <c r="C23" s="16"/>
      <c r="D23" s="16"/>
      <c r="E23" s="16"/>
      <c r="F23" s="16"/>
      <c r="G23" s="16"/>
      <c r="H23" s="16"/>
      <c r="I23" s="16"/>
      <c r="J23" s="16"/>
    </row>
    <row r="24" spans="2:10" x14ac:dyDescent="0.35">
      <c r="B24" s="16"/>
      <c r="C24" s="16"/>
      <c r="D24" s="16"/>
      <c r="E24" s="16"/>
      <c r="F24" s="16"/>
      <c r="G24" s="16"/>
      <c r="H24" s="16"/>
      <c r="I24" s="16"/>
      <c r="J24" s="16"/>
    </row>
    <row r="25" spans="2:10" x14ac:dyDescent="0.35">
      <c r="B25" s="16"/>
      <c r="C25" s="16"/>
      <c r="D25" s="16"/>
      <c r="E25" s="16"/>
      <c r="F25" s="16"/>
      <c r="G25" s="16"/>
      <c r="H25" s="16"/>
      <c r="I25" s="16"/>
      <c r="J25" s="16"/>
    </row>
    <row r="26" spans="2:10" x14ac:dyDescent="0.35">
      <c r="B26" s="16"/>
      <c r="C26" s="16"/>
      <c r="D26" s="16"/>
      <c r="E26" s="16"/>
      <c r="F26" s="16"/>
      <c r="G26" s="16"/>
      <c r="H26" s="16"/>
      <c r="I26" s="16"/>
      <c r="J26" s="16"/>
    </row>
    <row r="27" spans="2:10" x14ac:dyDescent="0.35">
      <c r="B27" s="16"/>
      <c r="C27" s="16"/>
      <c r="D27" s="16"/>
      <c r="E27" s="16"/>
      <c r="F27" s="16"/>
      <c r="G27" s="16"/>
      <c r="H27" s="16"/>
      <c r="I27" s="16"/>
      <c r="J27" s="16"/>
    </row>
    <row r="28" spans="2:10" x14ac:dyDescent="0.35">
      <c r="B28" s="16"/>
      <c r="C28" s="16"/>
      <c r="D28" s="16"/>
      <c r="E28" s="16"/>
      <c r="F28" s="16"/>
      <c r="G28" s="16"/>
      <c r="H28" s="16"/>
      <c r="I28" s="16"/>
      <c r="J28" s="16"/>
    </row>
    <row r="29" spans="2:10" x14ac:dyDescent="0.35">
      <c r="B29" s="16"/>
      <c r="C29" s="16"/>
      <c r="D29" s="16"/>
      <c r="E29" s="16"/>
      <c r="F29" s="16"/>
      <c r="G29" s="16"/>
      <c r="H29" s="16"/>
      <c r="I29" s="16"/>
      <c r="J29" s="16"/>
    </row>
    <row r="30" spans="2:10" x14ac:dyDescent="0.35">
      <c r="B30" s="16"/>
      <c r="C30" s="16"/>
      <c r="D30" s="16"/>
      <c r="E30" s="16"/>
      <c r="F30" s="16"/>
      <c r="G30" s="16"/>
      <c r="H30" s="16"/>
      <c r="I30" s="16"/>
      <c r="J30" s="16"/>
    </row>
    <row r="31" spans="2:10" x14ac:dyDescent="0.35">
      <c r="B31" s="16"/>
      <c r="C31" s="16"/>
      <c r="D31" s="16"/>
      <c r="E31" s="16"/>
      <c r="F31" s="16"/>
      <c r="G31" s="16"/>
      <c r="H31" s="16"/>
      <c r="I31" s="16"/>
      <c r="J31" s="16"/>
    </row>
    <row r="32" spans="2:10" x14ac:dyDescent="0.35">
      <c r="B32" s="16"/>
      <c r="C32" s="16"/>
      <c r="D32" s="16"/>
      <c r="E32" s="16"/>
      <c r="F32" s="16"/>
      <c r="G32" s="16"/>
      <c r="H32" s="16"/>
      <c r="I32" s="16"/>
      <c r="J32" s="16"/>
    </row>
    <row r="33" spans="2:10" x14ac:dyDescent="0.35">
      <c r="B33" s="16"/>
      <c r="C33" s="16"/>
      <c r="D33" s="16"/>
      <c r="E33" s="16"/>
      <c r="F33" s="16"/>
      <c r="G33" s="16"/>
      <c r="H33" s="16"/>
      <c r="I33" s="16"/>
      <c r="J33" s="16"/>
    </row>
    <row r="34" spans="2:10" x14ac:dyDescent="0.35">
      <c r="B34" s="16"/>
      <c r="C34" s="16"/>
      <c r="D34" s="16"/>
      <c r="E34" s="16"/>
      <c r="F34" s="16"/>
      <c r="G34" s="16"/>
      <c r="H34" s="16"/>
      <c r="I34" s="16"/>
      <c r="J34" s="16"/>
    </row>
    <row r="35" spans="2:10" x14ac:dyDescent="0.35">
      <c r="B35" s="16"/>
      <c r="C35" s="16"/>
      <c r="D35" s="16"/>
      <c r="E35" s="16"/>
      <c r="F35" s="16"/>
      <c r="G35" s="16"/>
      <c r="H35" s="16"/>
      <c r="I35" s="16"/>
      <c r="J35" s="16"/>
    </row>
    <row r="36" spans="2:10" x14ac:dyDescent="0.35">
      <c r="B36" s="16"/>
      <c r="C36" s="16"/>
      <c r="D36" s="16"/>
      <c r="E36" s="16"/>
      <c r="F36" s="16"/>
      <c r="G36" s="16"/>
      <c r="H36" s="16"/>
      <c r="I36" s="16"/>
      <c r="J36" s="16"/>
    </row>
    <row r="37" spans="2:10" x14ac:dyDescent="0.35">
      <c r="B37" s="16"/>
      <c r="C37" s="16"/>
      <c r="D37" s="16"/>
      <c r="E37" s="16"/>
      <c r="F37" s="16"/>
      <c r="G37" s="16"/>
      <c r="H37" s="16"/>
      <c r="I37" s="16"/>
      <c r="J37" s="16"/>
    </row>
    <row r="38" spans="2:10" x14ac:dyDescent="0.35">
      <c r="B38" s="16"/>
      <c r="C38" s="16"/>
      <c r="D38" s="16"/>
      <c r="E38" s="16"/>
      <c r="F38" s="16"/>
      <c r="G38" s="16"/>
      <c r="H38" s="16"/>
      <c r="I38" s="16"/>
      <c r="J38" s="16"/>
    </row>
    <row r="39" spans="2:10" x14ac:dyDescent="0.35">
      <c r="B39" s="16"/>
      <c r="C39" s="16"/>
      <c r="D39" s="16"/>
      <c r="E39" s="16"/>
      <c r="F39" s="16"/>
      <c r="G39" s="16"/>
      <c r="H39" s="16"/>
      <c r="I39" s="16"/>
      <c r="J39" s="16"/>
    </row>
    <row r="40" spans="2:10" x14ac:dyDescent="0.35">
      <c r="B40" s="16"/>
      <c r="C40" s="16"/>
      <c r="D40" s="16"/>
      <c r="E40" s="16"/>
      <c r="F40" s="16"/>
      <c r="G40" s="16"/>
      <c r="H40" s="16"/>
      <c r="I40" s="16"/>
      <c r="J40" s="16"/>
    </row>
    <row r="41" spans="2:10" x14ac:dyDescent="0.35">
      <c r="B41" s="16"/>
      <c r="C41" s="16"/>
      <c r="D41" s="16"/>
      <c r="E41" s="16"/>
      <c r="F41" s="16"/>
      <c r="G41" s="16"/>
      <c r="H41" s="16"/>
      <c r="I41" s="16"/>
      <c r="J41" s="16"/>
    </row>
    <row r="42" spans="2:10" x14ac:dyDescent="0.35">
      <c r="B42" s="16"/>
      <c r="C42" s="16"/>
      <c r="D42" s="16"/>
      <c r="E42" s="16"/>
      <c r="F42" s="16"/>
      <c r="G42" s="16"/>
      <c r="H42" s="16"/>
      <c r="I42" s="16"/>
      <c r="J42" s="16"/>
    </row>
    <row r="43" spans="2:10" x14ac:dyDescent="0.35">
      <c r="B43" s="16"/>
      <c r="C43" s="16"/>
      <c r="D43" s="16"/>
      <c r="E43" s="16"/>
      <c r="F43" s="16"/>
      <c r="G43" s="16"/>
      <c r="H43" s="16"/>
      <c r="I43" s="16"/>
      <c r="J43" s="1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M67"/>
  <sheetViews>
    <sheetView tabSelected="1" workbookViewId="0">
      <pane ySplit="7" topLeftCell="A20" activePane="bottomLeft" state="frozen"/>
      <selection pane="bottomLeft" activeCell="F11" sqref="F11"/>
    </sheetView>
  </sheetViews>
  <sheetFormatPr defaultRowHeight="14.5" x14ac:dyDescent="0.35"/>
  <cols>
    <col min="1" max="1" width="4.90625" style="21" customWidth="1"/>
    <col min="2" max="2" width="6" style="7" customWidth="1"/>
    <col min="3" max="3" width="28" customWidth="1"/>
    <col min="4" max="4" width="13" customWidth="1"/>
    <col min="5" max="5" width="34" customWidth="1"/>
    <col min="6" max="6" width="62" style="15" customWidth="1"/>
    <col min="7" max="7" width="17" customWidth="1"/>
    <col min="8" max="8" width="15" customWidth="1"/>
    <col min="9" max="9" width="13.6328125" customWidth="1"/>
    <col min="10" max="10" width="14" customWidth="1"/>
    <col min="11" max="11" width="28" customWidth="1"/>
    <col min="12" max="12" width="27.453125" customWidth="1"/>
    <col min="13" max="13" width="10" customWidth="1"/>
  </cols>
  <sheetData>
    <row r="1" spans="1:13" s="21" customFormat="1" x14ac:dyDescent="0.35">
      <c r="B1" s="22"/>
      <c r="F1" s="23"/>
    </row>
    <row r="2" spans="1:13" s="21" customFormat="1" x14ac:dyDescent="0.35">
      <c r="B2" s="22"/>
      <c r="F2" s="23"/>
    </row>
    <row r="3" spans="1:13" s="21" customFormat="1" x14ac:dyDescent="0.35">
      <c r="B3" s="22"/>
      <c r="F3" s="23"/>
    </row>
    <row r="4" spans="1:13" ht="19.5" x14ac:dyDescent="0.45">
      <c r="B4" s="204" t="s">
        <v>561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1:13" x14ac:dyDescent="0.35">
      <c r="B5" s="206" t="s">
        <v>402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</row>
    <row r="6" spans="1:13" ht="4" customHeight="1" x14ac:dyDescent="0.35"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</row>
    <row r="7" spans="1:13" s="26" customFormat="1" ht="31.5" customHeight="1" x14ac:dyDescent="0.35">
      <c r="A7" s="24"/>
      <c r="B7" s="25" t="s">
        <v>26</v>
      </c>
      <c r="C7" s="25" t="s">
        <v>12</v>
      </c>
      <c r="D7" s="25" t="s">
        <v>403</v>
      </c>
      <c r="E7" s="25" t="s">
        <v>404</v>
      </c>
      <c r="F7" s="25" t="s">
        <v>405</v>
      </c>
      <c r="G7" s="25" t="s">
        <v>22</v>
      </c>
      <c r="H7" s="25" t="s">
        <v>406</v>
      </c>
      <c r="I7" s="25" t="s">
        <v>407</v>
      </c>
      <c r="J7" s="25" t="s">
        <v>408</v>
      </c>
      <c r="K7" s="25" t="s">
        <v>409</v>
      </c>
      <c r="L7" s="25" t="s">
        <v>410</v>
      </c>
      <c r="M7" s="25" t="s">
        <v>39</v>
      </c>
    </row>
    <row r="8" spans="1:13" ht="29" x14ac:dyDescent="0.35">
      <c r="B8" s="8">
        <v>1</v>
      </c>
      <c r="C8" s="3" t="s">
        <v>16</v>
      </c>
      <c r="D8" s="3" t="s">
        <v>411</v>
      </c>
      <c r="E8" s="3" t="s">
        <v>412</v>
      </c>
      <c r="F8" s="3" t="s">
        <v>413</v>
      </c>
      <c r="G8" s="3"/>
      <c r="H8" s="5" t="s">
        <v>414</v>
      </c>
      <c r="I8" s="5" t="s">
        <v>415</v>
      </c>
      <c r="J8" s="3"/>
      <c r="K8" s="3"/>
      <c r="L8" s="3"/>
      <c r="M8" s="5" t="s">
        <v>45</v>
      </c>
    </row>
    <row r="9" spans="1:13" ht="29" x14ac:dyDescent="0.35">
      <c r="B9" s="8">
        <v>2</v>
      </c>
      <c r="C9" s="3" t="s">
        <v>16</v>
      </c>
      <c r="D9" s="3" t="s">
        <v>411</v>
      </c>
      <c r="E9" s="3" t="s">
        <v>416</v>
      </c>
      <c r="F9" s="3" t="s">
        <v>417</v>
      </c>
      <c r="G9" s="3"/>
      <c r="H9" s="5" t="s">
        <v>414</v>
      </c>
      <c r="I9" s="5" t="s">
        <v>415</v>
      </c>
      <c r="J9" s="3"/>
      <c r="K9" s="3"/>
      <c r="L9" s="3"/>
      <c r="M9" s="5" t="s">
        <v>45</v>
      </c>
    </row>
    <row r="10" spans="1:13" ht="29" x14ac:dyDescent="0.35">
      <c r="B10" s="8">
        <v>3</v>
      </c>
      <c r="C10" s="3" t="s">
        <v>16</v>
      </c>
      <c r="D10" s="3" t="s">
        <v>411</v>
      </c>
      <c r="E10" s="3" t="s">
        <v>418</v>
      </c>
      <c r="F10" s="3" t="s">
        <v>419</v>
      </c>
      <c r="G10" s="3"/>
      <c r="H10" s="5" t="s">
        <v>414</v>
      </c>
      <c r="I10" s="5" t="s">
        <v>415</v>
      </c>
      <c r="J10" s="3"/>
      <c r="K10" s="3"/>
      <c r="L10" s="3"/>
      <c r="M10" s="5" t="s">
        <v>45</v>
      </c>
    </row>
    <row r="11" spans="1:13" ht="29" x14ac:dyDescent="0.35">
      <c r="B11" s="8">
        <v>4</v>
      </c>
      <c r="C11" s="3" t="s">
        <v>16</v>
      </c>
      <c r="D11" s="3" t="s">
        <v>411</v>
      </c>
      <c r="E11" s="3" t="s">
        <v>420</v>
      </c>
      <c r="F11" s="3" t="s">
        <v>421</v>
      </c>
      <c r="G11" s="3"/>
      <c r="H11" s="5" t="s">
        <v>414</v>
      </c>
      <c r="I11" s="5" t="s">
        <v>415</v>
      </c>
      <c r="J11" s="3"/>
      <c r="K11" s="3"/>
      <c r="L11" s="3"/>
      <c r="M11" s="5" t="s">
        <v>45</v>
      </c>
    </row>
    <row r="12" spans="1:13" x14ac:dyDescent="0.35">
      <c r="B12" s="8">
        <v>5</v>
      </c>
      <c r="C12" s="3" t="s">
        <v>16</v>
      </c>
      <c r="D12" s="3" t="s">
        <v>422</v>
      </c>
      <c r="E12" s="3" t="s">
        <v>423</v>
      </c>
      <c r="F12" s="3" t="s">
        <v>424</v>
      </c>
      <c r="G12" s="3"/>
      <c r="H12" s="5" t="s">
        <v>414</v>
      </c>
      <c r="I12" s="5" t="s">
        <v>415</v>
      </c>
      <c r="J12" s="3"/>
      <c r="K12" s="3"/>
      <c r="L12" s="3"/>
      <c r="M12" s="5" t="s">
        <v>45</v>
      </c>
    </row>
    <row r="13" spans="1:13" x14ac:dyDescent="0.35">
      <c r="B13" s="8">
        <v>6</v>
      </c>
      <c r="C13" s="3" t="s">
        <v>16</v>
      </c>
      <c r="D13" s="3" t="s">
        <v>422</v>
      </c>
      <c r="E13" s="3" t="s">
        <v>425</v>
      </c>
      <c r="F13" s="3" t="s">
        <v>426</v>
      </c>
      <c r="G13" s="3"/>
      <c r="H13" s="5" t="s">
        <v>414</v>
      </c>
      <c r="I13" s="5" t="s">
        <v>415</v>
      </c>
      <c r="J13" s="3"/>
      <c r="K13" s="3"/>
      <c r="L13" s="3"/>
      <c r="M13" s="5" t="s">
        <v>45</v>
      </c>
    </row>
    <row r="14" spans="1:13" ht="29" x14ac:dyDescent="0.35">
      <c r="B14" s="8">
        <v>7</v>
      </c>
      <c r="C14" s="3" t="s">
        <v>16</v>
      </c>
      <c r="D14" s="3" t="s">
        <v>422</v>
      </c>
      <c r="E14" s="3" t="s">
        <v>427</v>
      </c>
      <c r="F14" s="3" t="s">
        <v>428</v>
      </c>
      <c r="G14" s="3"/>
      <c r="H14" s="5" t="s">
        <v>414</v>
      </c>
      <c r="I14" s="5" t="s">
        <v>415</v>
      </c>
      <c r="J14" s="3"/>
      <c r="K14" s="3"/>
      <c r="L14" s="3"/>
      <c r="M14" s="5" t="s">
        <v>45</v>
      </c>
    </row>
    <row r="15" spans="1:13" x14ac:dyDescent="0.35">
      <c r="B15" s="8">
        <v>8</v>
      </c>
      <c r="C15" s="3" t="s">
        <v>16</v>
      </c>
      <c r="D15" s="3" t="s">
        <v>422</v>
      </c>
      <c r="E15" s="3" t="s">
        <v>429</v>
      </c>
      <c r="F15" s="3" t="s">
        <v>430</v>
      </c>
      <c r="G15" s="3"/>
      <c r="H15" s="5" t="s">
        <v>414</v>
      </c>
      <c r="I15" s="5" t="s">
        <v>415</v>
      </c>
      <c r="J15" s="3"/>
      <c r="K15" s="3"/>
      <c r="L15" s="3"/>
      <c r="M15" s="5" t="s">
        <v>45</v>
      </c>
    </row>
    <row r="16" spans="1:13" ht="29" x14ac:dyDescent="0.35">
      <c r="B16" s="8">
        <v>9</v>
      </c>
      <c r="C16" s="3" t="s">
        <v>16</v>
      </c>
      <c r="D16" s="3" t="s">
        <v>431</v>
      </c>
      <c r="E16" s="3" t="s">
        <v>432</v>
      </c>
      <c r="F16" s="3" t="s">
        <v>433</v>
      </c>
      <c r="G16" s="3"/>
      <c r="H16" s="5" t="s">
        <v>414</v>
      </c>
      <c r="I16" s="5" t="s">
        <v>415</v>
      </c>
      <c r="J16" s="3"/>
      <c r="K16" s="3"/>
      <c r="L16" s="3"/>
      <c r="M16" s="5" t="s">
        <v>45</v>
      </c>
    </row>
    <row r="17" spans="2:13" ht="29" x14ac:dyDescent="0.35">
      <c r="B17" s="8">
        <v>10</v>
      </c>
      <c r="C17" s="3" t="s">
        <v>16</v>
      </c>
      <c r="D17" s="3" t="s">
        <v>431</v>
      </c>
      <c r="E17" s="3" t="s">
        <v>434</v>
      </c>
      <c r="F17" s="3" t="s">
        <v>435</v>
      </c>
      <c r="G17" s="3"/>
      <c r="H17" s="5" t="s">
        <v>414</v>
      </c>
      <c r="I17" s="5" t="s">
        <v>415</v>
      </c>
      <c r="J17" s="3"/>
      <c r="K17" s="3"/>
      <c r="L17" s="3"/>
      <c r="M17" s="5" t="s">
        <v>45</v>
      </c>
    </row>
    <row r="18" spans="2:13" ht="29" x14ac:dyDescent="0.35">
      <c r="B18" s="8">
        <v>11</v>
      </c>
      <c r="C18" s="3" t="s">
        <v>16</v>
      </c>
      <c r="D18" s="3" t="s">
        <v>431</v>
      </c>
      <c r="E18" s="3" t="s">
        <v>436</v>
      </c>
      <c r="F18" s="3" t="s">
        <v>437</v>
      </c>
      <c r="G18" s="3"/>
      <c r="H18" s="5" t="s">
        <v>414</v>
      </c>
      <c r="I18" s="5" t="s">
        <v>415</v>
      </c>
      <c r="J18" s="3"/>
      <c r="K18" s="3"/>
      <c r="L18" s="3"/>
      <c r="M18" s="5" t="s">
        <v>45</v>
      </c>
    </row>
    <row r="19" spans="2:13" ht="29" x14ac:dyDescent="0.35">
      <c r="B19" s="8">
        <v>12</v>
      </c>
      <c r="C19" s="3" t="s">
        <v>16</v>
      </c>
      <c r="D19" s="3" t="s">
        <v>431</v>
      </c>
      <c r="E19" s="3" t="s">
        <v>438</v>
      </c>
      <c r="F19" s="3" t="s">
        <v>439</v>
      </c>
      <c r="G19" s="3"/>
      <c r="H19" s="5" t="s">
        <v>414</v>
      </c>
      <c r="I19" s="5" t="s">
        <v>415</v>
      </c>
      <c r="J19" s="3"/>
      <c r="K19" s="3"/>
      <c r="L19" s="3"/>
      <c r="M19" s="5" t="s">
        <v>45</v>
      </c>
    </row>
    <row r="20" spans="2:13" x14ac:dyDescent="0.35">
      <c r="B20" s="8">
        <v>13</v>
      </c>
      <c r="C20" s="3" t="s">
        <v>16</v>
      </c>
      <c r="D20" s="3" t="s">
        <v>431</v>
      </c>
      <c r="E20" s="3" t="s">
        <v>440</v>
      </c>
      <c r="F20" s="3" t="s">
        <v>441</v>
      </c>
      <c r="G20" s="3"/>
      <c r="H20" s="5" t="s">
        <v>414</v>
      </c>
      <c r="I20" s="5" t="s">
        <v>415</v>
      </c>
      <c r="J20" s="3"/>
      <c r="K20" s="3"/>
      <c r="L20" s="3"/>
      <c r="M20" s="5" t="s">
        <v>45</v>
      </c>
    </row>
    <row r="21" spans="2:13" ht="29" x14ac:dyDescent="0.35">
      <c r="B21" s="8">
        <v>14</v>
      </c>
      <c r="C21" s="3" t="s">
        <v>16</v>
      </c>
      <c r="D21" s="3" t="s">
        <v>431</v>
      </c>
      <c r="E21" s="3" t="s">
        <v>442</v>
      </c>
      <c r="F21" s="3" t="s">
        <v>443</v>
      </c>
      <c r="G21" s="3"/>
      <c r="H21" s="5" t="s">
        <v>414</v>
      </c>
      <c r="I21" s="5" t="s">
        <v>415</v>
      </c>
      <c r="J21" s="3"/>
      <c r="K21" s="3"/>
      <c r="L21" s="3"/>
      <c r="M21" s="5" t="s">
        <v>45</v>
      </c>
    </row>
    <row r="22" spans="2:13" ht="29" x14ac:dyDescent="0.35">
      <c r="B22" s="8">
        <v>15</v>
      </c>
      <c r="C22" s="3" t="s">
        <v>16</v>
      </c>
      <c r="D22" s="3" t="s">
        <v>444</v>
      </c>
      <c r="E22" s="3" t="s">
        <v>445</v>
      </c>
      <c r="F22" s="3" t="s">
        <v>446</v>
      </c>
      <c r="G22" s="3"/>
      <c r="H22" s="5" t="s">
        <v>414</v>
      </c>
      <c r="I22" s="5" t="s">
        <v>415</v>
      </c>
      <c r="J22" s="3"/>
      <c r="K22" s="3"/>
      <c r="L22" s="3"/>
      <c r="M22" s="5" t="s">
        <v>45</v>
      </c>
    </row>
    <row r="23" spans="2:13" ht="29" x14ac:dyDescent="0.35">
      <c r="B23" s="8">
        <v>16</v>
      </c>
      <c r="C23" s="3" t="s">
        <v>16</v>
      </c>
      <c r="D23" s="3" t="s">
        <v>444</v>
      </c>
      <c r="E23" s="3" t="s">
        <v>447</v>
      </c>
      <c r="F23" s="3" t="s">
        <v>448</v>
      </c>
      <c r="G23" s="3"/>
      <c r="H23" s="5" t="s">
        <v>414</v>
      </c>
      <c r="I23" s="5" t="s">
        <v>415</v>
      </c>
      <c r="J23" s="3"/>
      <c r="K23" s="3"/>
      <c r="L23" s="3"/>
      <c r="M23" s="5" t="s">
        <v>45</v>
      </c>
    </row>
    <row r="24" spans="2:13" x14ac:dyDescent="0.35">
      <c r="B24" s="8">
        <v>17</v>
      </c>
      <c r="C24" s="3" t="s">
        <v>16</v>
      </c>
      <c r="D24" s="3" t="s">
        <v>444</v>
      </c>
      <c r="E24" s="3" t="s">
        <v>449</v>
      </c>
      <c r="F24" s="3" t="s">
        <v>450</v>
      </c>
      <c r="G24" s="3"/>
      <c r="H24" s="5" t="s">
        <v>414</v>
      </c>
      <c r="I24" s="5" t="s">
        <v>415</v>
      </c>
      <c r="J24" s="3"/>
      <c r="K24" s="3"/>
      <c r="L24" s="3"/>
      <c r="M24" s="5" t="s">
        <v>45</v>
      </c>
    </row>
    <row r="25" spans="2:13" ht="29" x14ac:dyDescent="0.35">
      <c r="B25" s="8">
        <v>18</v>
      </c>
      <c r="C25" s="3" t="s">
        <v>16</v>
      </c>
      <c r="D25" s="3" t="s">
        <v>444</v>
      </c>
      <c r="E25" s="3" t="s">
        <v>451</v>
      </c>
      <c r="F25" s="3" t="s">
        <v>452</v>
      </c>
      <c r="G25" s="3"/>
      <c r="H25" s="5" t="s">
        <v>414</v>
      </c>
      <c r="I25" s="5" t="s">
        <v>415</v>
      </c>
      <c r="J25" s="3"/>
      <c r="K25" s="3"/>
      <c r="L25" s="3"/>
      <c r="M25" s="5" t="s">
        <v>45</v>
      </c>
    </row>
    <row r="26" spans="2:13" ht="29" x14ac:dyDescent="0.35">
      <c r="B26" s="8">
        <v>19</v>
      </c>
      <c r="C26" s="3" t="s">
        <v>16</v>
      </c>
      <c r="D26" s="3" t="s">
        <v>444</v>
      </c>
      <c r="E26" s="3" t="s">
        <v>453</v>
      </c>
      <c r="F26" s="3" t="s">
        <v>454</v>
      </c>
      <c r="G26" s="3"/>
      <c r="H26" s="5" t="s">
        <v>414</v>
      </c>
      <c r="I26" s="5" t="s">
        <v>415</v>
      </c>
      <c r="J26" s="3"/>
      <c r="K26" s="3"/>
      <c r="L26" s="3"/>
      <c r="M26" s="5" t="s">
        <v>45</v>
      </c>
    </row>
    <row r="27" spans="2:13" ht="29" x14ac:dyDescent="0.35">
      <c r="B27" s="8">
        <v>20</v>
      </c>
      <c r="C27" s="3" t="s">
        <v>18</v>
      </c>
      <c r="D27" s="3" t="s">
        <v>455</v>
      </c>
      <c r="E27" s="3" t="s">
        <v>456</v>
      </c>
      <c r="F27" s="3" t="s">
        <v>457</v>
      </c>
      <c r="G27" s="3"/>
      <c r="H27" s="5" t="s">
        <v>414</v>
      </c>
      <c r="I27" s="5" t="s">
        <v>415</v>
      </c>
      <c r="J27" s="3"/>
      <c r="K27" s="3"/>
      <c r="L27" s="3"/>
      <c r="M27" s="5" t="s">
        <v>45</v>
      </c>
    </row>
    <row r="28" spans="2:13" ht="29" x14ac:dyDescent="0.35">
      <c r="B28" s="8">
        <v>21</v>
      </c>
      <c r="C28" s="3" t="s">
        <v>18</v>
      </c>
      <c r="D28" s="3" t="s">
        <v>455</v>
      </c>
      <c r="E28" s="3" t="s">
        <v>458</v>
      </c>
      <c r="F28" s="3" t="s">
        <v>459</v>
      </c>
      <c r="G28" s="3"/>
      <c r="H28" s="5" t="s">
        <v>414</v>
      </c>
      <c r="I28" s="5" t="s">
        <v>415</v>
      </c>
      <c r="J28" s="3"/>
      <c r="K28" s="3"/>
      <c r="L28" s="3"/>
      <c r="M28" s="5" t="s">
        <v>45</v>
      </c>
    </row>
    <row r="29" spans="2:13" ht="29" x14ac:dyDescent="0.35">
      <c r="B29" s="8">
        <v>22</v>
      </c>
      <c r="C29" s="3" t="s">
        <v>18</v>
      </c>
      <c r="D29" s="3" t="s">
        <v>455</v>
      </c>
      <c r="E29" s="3" t="s">
        <v>460</v>
      </c>
      <c r="F29" s="3" t="s">
        <v>461</v>
      </c>
      <c r="G29" s="3"/>
      <c r="H29" s="5" t="s">
        <v>414</v>
      </c>
      <c r="I29" s="5" t="s">
        <v>415</v>
      </c>
      <c r="J29" s="3"/>
      <c r="K29" s="3"/>
      <c r="L29" s="3"/>
      <c r="M29" s="5" t="s">
        <v>45</v>
      </c>
    </row>
    <row r="30" spans="2:13" ht="29" x14ac:dyDescent="0.35">
      <c r="B30" s="8">
        <v>23</v>
      </c>
      <c r="C30" s="3" t="s">
        <v>18</v>
      </c>
      <c r="D30" s="3" t="s">
        <v>455</v>
      </c>
      <c r="E30" s="3" t="s">
        <v>462</v>
      </c>
      <c r="F30" s="3" t="s">
        <v>463</v>
      </c>
      <c r="G30" s="3"/>
      <c r="H30" s="5" t="s">
        <v>414</v>
      </c>
      <c r="I30" s="5" t="s">
        <v>415</v>
      </c>
      <c r="J30" s="3"/>
      <c r="K30" s="3"/>
      <c r="L30" s="3"/>
      <c r="M30" s="5" t="s">
        <v>45</v>
      </c>
    </row>
    <row r="31" spans="2:13" ht="29" x14ac:dyDescent="0.35">
      <c r="B31" s="8">
        <v>24</v>
      </c>
      <c r="C31" s="3" t="s">
        <v>18</v>
      </c>
      <c r="D31" s="3" t="s">
        <v>464</v>
      </c>
      <c r="E31" s="3" t="s">
        <v>465</v>
      </c>
      <c r="F31" s="3" t="s">
        <v>466</v>
      </c>
      <c r="G31" s="3"/>
      <c r="H31" s="5" t="s">
        <v>414</v>
      </c>
      <c r="I31" s="5" t="s">
        <v>415</v>
      </c>
      <c r="J31" s="3"/>
      <c r="K31" s="3"/>
      <c r="L31" s="3"/>
      <c r="M31" s="5" t="s">
        <v>45</v>
      </c>
    </row>
    <row r="32" spans="2:13" ht="29" x14ac:dyDescent="0.35">
      <c r="B32" s="8">
        <v>25</v>
      </c>
      <c r="C32" s="3" t="s">
        <v>18</v>
      </c>
      <c r="D32" s="3" t="s">
        <v>464</v>
      </c>
      <c r="E32" s="3" t="s">
        <v>467</v>
      </c>
      <c r="F32" s="3" t="s">
        <v>468</v>
      </c>
      <c r="G32" s="3"/>
      <c r="H32" s="5" t="s">
        <v>414</v>
      </c>
      <c r="I32" s="5" t="s">
        <v>415</v>
      </c>
      <c r="J32" s="3"/>
      <c r="K32" s="3"/>
      <c r="L32" s="3"/>
      <c r="M32" s="5" t="s">
        <v>45</v>
      </c>
    </row>
    <row r="33" spans="2:13" ht="29" x14ac:dyDescent="0.35">
      <c r="B33" s="8">
        <v>26</v>
      </c>
      <c r="C33" s="3" t="s">
        <v>18</v>
      </c>
      <c r="D33" s="3" t="s">
        <v>464</v>
      </c>
      <c r="E33" s="3" t="s">
        <v>469</v>
      </c>
      <c r="F33" s="3" t="s">
        <v>470</v>
      </c>
      <c r="G33" s="3"/>
      <c r="H33" s="5" t="s">
        <v>414</v>
      </c>
      <c r="I33" s="5" t="s">
        <v>415</v>
      </c>
      <c r="J33" s="3"/>
      <c r="K33" s="3"/>
      <c r="L33" s="3"/>
      <c r="M33" s="5" t="s">
        <v>45</v>
      </c>
    </row>
    <row r="34" spans="2:13" ht="29" x14ac:dyDescent="0.35">
      <c r="B34" s="8">
        <v>27</v>
      </c>
      <c r="C34" s="3" t="s">
        <v>18</v>
      </c>
      <c r="D34" s="3" t="s">
        <v>464</v>
      </c>
      <c r="E34" s="3" t="s">
        <v>471</v>
      </c>
      <c r="F34" s="3" t="s">
        <v>472</v>
      </c>
      <c r="G34" s="3"/>
      <c r="H34" s="5" t="s">
        <v>414</v>
      </c>
      <c r="I34" s="5" t="s">
        <v>415</v>
      </c>
      <c r="J34" s="3"/>
      <c r="K34" s="3"/>
      <c r="L34" s="3"/>
      <c r="M34" s="5" t="s">
        <v>45</v>
      </c>
    </row>
    <row r="35" spans="2:13" ht="29" x14ac:dyDescent="0.35">
      <c r="B35" s="8">
        <v>28</v>
      </c>
      <c r="C35" s="3" t="s">
        <v>18</v>
      </c>
      <c r="D35" s="3" t="s">
        <v>464</v>
      </c>
      <c r="E35" s="3" t="s">
        <v>473</v>
      </c>
      <c r="F35" s="3" t="s">
        <v>474</v>
      </c>
      <c r="G35" s="3"/>
      <c r="H35" s="5" t="s">
        <v>414</v>
      </c>
      <c r="I35" s="5" t="s">
        <v>415</v>
      </c>
      <c r="J35" s="3"/>
      <c r="K35" s="3"/>
      <c r="L35" s="3"/>
      <c r="M35" s="5" t="s">
        <v>45</v>
      </c>
    </row>
    <row r="36" spans="2:13" ht="29" x14ac:dyDescent="0.35">
      <c r="B36" s="8">
        <v>29</v>
      </c>
      <c r="C36" s="3" t="s">
        <v>18</v>
      </c>
      <c r="D36" s="3" t="s">
        <v>464</v>
      </c>
      <c r="E36" s="3" t="s">
        <v>475</v>
      </c>
      <c r="F36" s="3" t="s">
        <v>476</v>
      </c>
      <c r="G36" s="3"/>
      <c r="H36" s="5" t="s">
        <v>414</v>
      </c>
      <c r="I36" s="5" t="s">
        <v>415</v>
      </c>
      <c r="J36" s="3"/>
      <c r="K36" s="3"/>
      <c r="L36" s="3"/>
      <c r="M36" s="5" t="s">
        <v>45</v>
      </c>
    </row>
    <row r="37" spans="2:13" ht="29" x14ac:dyDescent="0.35">
      <c r="B37" s="8">
        <v>30</v>
      </c>
      <c r="C37" s="3" t="s">
        <v>18</v>
      </c>
      <c r="D37" s="3" t="s">
        <v>477</v>
      </c>
      <c r="E37" s="3" t="s">
        <v>478</v>
      </c>
      <c r="F37" s="3" t="s">
        <v>479</v>
      </c>
      <c r="G37" s="3"/>
      <c r="H37" s="5" t="s">
        <v>414</v>
      </c>
      <c r="I37" s="5" t="s">
        <v>415</v>
      </c>
      <c r="J37" s="3"/>
      <c r="K37" s="3"/>
      <c r="L37" s="3"/>
      <c r="M37" s="5" t="s">
        <v>45</v>
      </c>
    </row>
    <row r="38" spans="2:13" ht="29" x14ac:dyDescent="0.35">
      <c r="B38" s="8">
        <v>31</v>
      </c>
      <c r="C38" s="3" t="s">
        <v>18</v>
      </c>
      <c r="D38" s="3" t="s">
        <v>477</v>
      </c>
      <c r="E38" s="3" t="s">
        <v>480</v>
      </c>
      <c r="F38" s="3" t="s">
        <v>481</v>
      </c>
      <c r="G38" s="3"/>
      <c r="H38" s="5" t="s">
        <v>414</v>
      </c>
      <c r="I38" s="5" t="s">
        <v>415</v>
      </c>
      <c r="J38" s="3"/>
      <c r="K38" s="3"/>
      <c r="L38" s="3"/>
      <c r="M38" s="5" t="s">
        <v>45</v>
      </c>
    </row>
    <row r="39" spans="2:13" ht="29" x14ac:dyDescent="0.35">
      <c r="B39" s="8">
        <v>32</v>
      </c>
      <c r="C39" s="3" t="s">
        <v>18</v>
      </c>
      <c r="D39" s="3" t="s">
        <v>477</v>
      </c>
      <c r="E39" s="3" t="s">
        <v>482</v>
      </c>
      <c r="F39" s="3" t="s">
        <v>483</v>
      </c>
      <c r="G39" s="3"/>
      <c r="H39" s="5" t="s">
        <v>414</v>
      </c>
      <c r="I39" s="5" t="s">
        <v>415</v>
      </c>
      <c r="J39" s="3"/>
      <c r="K39" s="3"/>
      <c r="L39" s="3"/>
      <c r="M39" s="5" t="s">
        <v>45</v>
      </c>
    </row>
    <row r="40" spans="2:13" ht="29" x14ac:dyDescent="0.35">
      <c r="B40" s="8">
        <v>33</v>
      </c>
      <c r="C40" s="3" t="s">
        <v>18</v>
      </c>
      <c r="D40" s="3" t="s">
        <v>477</v>
      </c>
      <c r="E40" s="3" t="s">
        <v>484</v>
      </c>
      <c r="F40" s="3" t="s">
        <v>485</v>
      </c>
      <c r="G40" s="3"/>
      <c r="H40" s="5" t="s">
        <v>414</v>
      </c>
      <c r="I40" s="5" t="s">
        <v>415</v>
      </c>
      <c r="J40" s="3"/>
      <c r="K40" s="3"/>
      <c r="L40" s="3"/>
      <c r="M40" s="5" t="s">
        <v>45</v>
      </c>
    </row>
    <row r="41" spans="2:13" ht="29" x14ac:dyDescent="0.35">
      <c r="B41" s="8">
        <v>34</v>
      </c>
      <c r="C41" s="3" t="s">
        <v>18</v>
      </c>
      <c r="D41" s="3" t="s">
        <v>486</v>
      </c>
      <c r="E41" s="3" t="s">
        <v>487</v>
      </c>
      <c r="F41" s="3" t="s">
        <v>488</v>
      </c>
      <c r="G41" s="3"/>
      <c r="H41" s="5" t="s">
        <v>414</v>
      </c>
      <c r="I41" s="5" t="s">
        <v>415</v>
      </c>
      <c r="J41" s="3"/>
      <c r="K41" s="3"/>
      <c r="L41" s="3"/>
      <c r="M41" s="5" t="s">
        <v>45</v>
      </c>
    </row>
    <row r="42" spans="2:13" ht="29" x14ac:dyDescent="0.35">
      <c r="B42" s="8">
        <v>35</v>
      </c>
      <c r="C42" s="3" t="s">
        <v>18</v>
      </c>
      <c r="D42" s="3" t="s">
        <v>486</v>
      </c>
      <c r="E42" s="3" t="s">
        <v>489</v>
      </c>
      <c r="F42" s="3" t="s">
        <v>490</v>
      </c>
      <c r="G42" s="3"/>
      <c r="H42" s="5" t="s">
        <v>414</v>
      </c>
      <c r="I42" s="5" t="s">
        <v>415</v>
      </c>
      <c r="J42" s="3"/>
      <c r="K42" s="3"/>
      <c r="L42" s="3"/>
      <c r="M42" s="5" t="s">
        <v>45</v>
      </c>
    </row>
    <row r="43" spans="2:13" ht="29" x14ac:dyDescent="0.35">
      <c r="B43" s="8">
        <v>36</v>
      </c>
      <c r="C43" s="3" t="s">
        <v>18</v>
      </c>
      <c r="D43" s="3" t="s">
        <v>486</v>
      </c>
      <c r="E43" s="3" t="s">
        <v>491</v>
      </c>
      <c r="F43" s="3" t="s">
        <v>492</v>
      </c>
      <c r="G43" s="3"/>
      <c r="H43" s="5" t="s">
        <v>414</v>
      </c>
      <c r="I43" s="5" t="s">
        <v>415</v>
      </c>
      <c r="J43" s="3"/>
      <c r="K43" s="3"/>
      <c r="L43" s="3"/>
      <c r="M43" s="5" t="s">
        <v>45</v>
      </c>
    </row>
    <row r="44" spans="2:13" ht="29" x14ac:dyDescent="0.35">
      <c r="B44" s="8">
        <v>37</v>
      </c>
      <c r="C44" s="3" t="s">
        <v>18</v>
      </c>
      <c r="D44" s="3" t="s">
        <v>486</v>
      </c>
      <c r="E44" s="3" t="s">
        <v>493</v>
      </c>
      <c r="F44" s="3" t="s">
        <v>494</v>
      </c>
      <c r="G44" s="3"/>
      <c r="H44" s="5" t="s">
        <v>414</v>
      </c>
      <c r="I44" s="5" t="s">
        <v>415</v>
      </c>
      <c r="J44" s="3"/>
      <c r="K44" s="3"/>
      <c r="L44" s="3"/>
      <c r="M44" s="5" t="s">
        <v>45</v>
      </c>
    </row>
    <row r="45" spans="2:13" ht="29" x14ac:dyDescent="0.35">
      <c r="B45" s="8">
        <v>38</v>
      </c>
      <c r="C45" s="3" t="s">
        <v>18</v>
      </c>
      <c r="D45" s="3" t="s">
        <v>495</v>
      </c>
      <c r="E45" s="3" t="s">
        <v>496</v>
      </c>
      <c r="F45" s="3" t="s">
        <v>497</v>
      </c>
      <c r="G45" s="3"/>
      <c r="H45" s="5" t="s">
        <v>414</v>
      </c>
      <c r="I45" s="5" t="s">
        <v>415</v>
      </c>
      <c r="J45" s="3"/>
      <c r="K45" s="3"/>
      <c r="L45" s="3"/>
      <c r="M45" s="5" t="s">
        <v>45</v>
      </c>
    </row>
    <row r="46" spans="2:13" ht="29" x14ac:dyDescent="0.35">
      <c r="B46" s="8">
        <v>39</v>
      </c>
      <c r="C46" s="3" t="s">
        <v>18</v>
      </c>
      <c r="D46" s="3" t="s">
        <v>495</v>
      </c>
      <c r="E46" s="3" t="s">
        <v>498</v>
      </c>
      <c r="F46" s="3" t="s">
        <v>499</v>
      </c>
      <c r="G46" s="3"/>
      <c r="H46" s="5" t="s">
        <v>414</v>
      </c>
      <c r="I46" s="5" t="s">
        <v>415</v>
      </c>
      <c r="J46" s="3"/>
      <c r="K46" s="3"/>
      <c r="L46" s="3"/>
      <c r="M46" s="5" t="s">
        <v>45</v>
      </c>
    </row>
    <row r="47" spans="2:13" ht="29" x14ac:dyDescent="0.35">
      <c r="B47" s="8">
        <v>40</v>
      </c>
      <c r="C47" s="3" t="s">
        <v>18</v>
      </c>
      <c r="D47" s="3" t="s">
        <v>495</v>
      </c>
      <c r="E47" s="3" t="s">
        <v>500</v>
      </c>
      <c r="F47" s="3" t="s">
        <v>501</v>
      </c>
      <c r="G47" s="3"/>
      <c r="H47" s="5" t="s">
        <v>414</v>
      </c>
      <c r="I47" s="5" t="s">
        <v>415</v>
      </c>
      <c r="J47" s="3"/>
      <c r="K47" s="3"/>
      <c r="L47" s="3"/>
      <c r="M47" s="5" t="s">
        <v>45</v>
      </c>
    </row>
    <row r="48" spans="2:13" ht="29" x14ac:dyDescent="0.35">
      <c r="B48" s="8">
        <v>41</v>
      </c>
      <c r="C48" s="3" t="s">
        <v>20</v>
      </c>
      <c r="D48" s="3" t="s">
        <v>502</v>
      </c>
      <c r="E48" s="3" t="s">
        <v>503</v>
      </c>
      <c r="F48" s="3" t="s">
        <v>504</v>
      </c>
      <c r="G48" s="3"/>
      <c r="H48" s="5" t="s">
        <v>414</v>
      </c>
      <c r="I48" s="5" t="s">
        <v>415</v>
      </c>
      <c r="J48" s="3"/>
      <c r="K48" s="3"/>
      <c r="L48" s="3"/>
      <c r="M48" s="5" t="s">
        <v>45</v>
      </c>
    </row>
    <row r="49" spans="2:13" ht="29" x14ac:dyDescent="0.35">
      <c r="B49" s="8">
        <v>42</v>
      </c>
      <c r="C49" s="3" t="s">
        <v>20</v>
      </c>
      <c r="D49" s="3" t="s">
        <v>502</v>
      </c>
      <c r="E49" s="3" t="s">
        <v>505</v>
      </c>
      <c r="F49" s="3" t="s">
        <v>506</v>
      </c>
      <c r="G49" s="3"/>
      <c r="H49" s="5" t="s">
        <v>414</v>
      </c>
      <c r="I49" s="5" t="s">
        <v>415</v>
      </c>
      <c r="J49" s="3"/>
      <c r="K49" s="3"/>
      <c r="L49" s="3"/>
      <c r="M49" s="5" t="s">
        <v>45</v>
      </c>
    </row>
    <row r="50" spans="2:13" ht="29" x14ac:dyDescent="0.35">
      <c r="B50" s="8">
        <v>43</v>
      </c>
      <c r="C50" s="3" t="s">
        <v>20</v>
      </c>
      <c r="D50" s="3" t="s">
        <v>502</v>
      </c>
      <c r="E50" s="3" t="s">
        <v>507</v>
      </c>
      <c r="F50" s="3" t="s">
        <v>508</v>
      </c>
      <c r="G50" s="3"/>
      <c r="H50" s="5" t="s">
        <v>414</v>
      </c>
      <c r="I50" s="5" t="s">
        <v>415</v>
      </c>
      <c r="J50" s="3"/>
      <c r="K50" s="3"/>
      <c r="L50" s="3"/>
      <c r="M50" s="5" t="s">
        <v>45</v>
      </c>
    </row>
    <row r="51" spans="2:13" ht="29" x14ac:dyDescent="0.35">
      <c r="B51" s="8">
        <v>44</v>
      </c>
      <c r="C51" s="3" t="s">
        <v>20</v>
      </c>
      <c r="D51" s="3" t="s">
        <v>509</v>
      </c>
      <c r="E51" s="3" t="s">
        <v>510</v>
      </c>
      <c r="F51" s="3" t="s">
        <v>511</v>
      </c>
      <c r="G51" s="3"/>
      <c r="H51" s="5" t="s">
        <v>414</v>
      </c>
      <c r="I51" s="5" t="s">
        <v>415</v>
      </c>
      <c r="J51" s="3"/>
      <c r="K51" s="3"/>
      <c r="L51" s="3"/>
      <c r="M51" s="5" t="s">
        <v>45</v>
      </c>
    </row>
    <row r="52" spans="2:13" ht="29" x14ac:dyDescent="0.35">
      <c r="B52" s="8">
        <v>45</v>
      </c>
      <c r="C52" s="3" t="s">
        <v>20</v>
      </c>
      <c r="D52" s="3" t="s">
        <v>509</v>
      </c>
      <c r="E52" s="3" t="s">
        <v>512</v>
      </c>
      <c r="F52" s="3" t="s">
        <v>513</v>
      </c>
      <c r="G52" s="3"/>
      <c r="H52" s="5" t="s">
        <v>414</v>
      </c>
      <c r="I52" s="5" t="s">
        <v>415</v>
      </c>
      <c r="J52" s="3"/>
      <c r="K52" s="3"/>
      <c r="L52" s="3"/>
      <c r="M52" s="5" t="s">
        <v>45</v>
      </c>
    </row>
    <row r="53" spans="2:13" ht="29" x14ac:dyDescent="0.35">
      <c r="B53" s="8">
        <v>46</v>
      </c>
      <c r="C53" s="3" t="s">
        <v>20</v>
      </c>
      <c r="D53" s="3" t="s">
        <v>509</v>
      </c>
      <c r="E53" s="3" t="s">
        <v>514</v>
      </c>
      <c r="F53" s="3" t="s">
        <v>515</v>
      </c>
      <c r="G53" s="3"/>
      <c r="H53" s="5" t="s">
        <v>414</v>
      </c>
      <c r="I53" s="5" t="s">
        <v>415</v>
      </c>
      <c r="J53" s="3"/>
      <c r="K53" s="3"/>
      <c r="L53" s="3"/>
      <c r="M53" s="5" t="s">
        <v>45</v>
      </c>
    </row>
    <row r="54" spans="2:13" ht="29" x14ac:dyDescent="0.35">
      <c r="B54" s="8">
        <v>47</v>
      </c>
      <c r="C54" s="3" t="s">
        <v>20</v>
      </c>
      <c r="D54" s="3" t="s">
        <v>516</v>
      </c>
      <c r="E54" s="3" t="s">
        <v>517</v>
      </c>
      <c r="F54" s="3" t="s">
        <v>518</v>
      </c>
      <c r="G54" s="3"/>
      <c r="H54" s="5" t="s">
        <v>414</v>
      </c>
      <c r="I54" s="5" t="s">
        <v>415</v>
      </c>
      <c r="J54" s="3"/>
      <c r="K54" s="3"/>
      <c r="L54" s="3"/>
      <c r="M54" s="5" t="s">
        <v>45</v>
      </c>
    </row>
    <row r="55" spans="2:13" ht="29" x14ac:dyDescent="0.35">
      <c r="B55" s="8">
        <v>48</v>
      </c>
      <c r="C55" s="3" t="s">
        <v>20</v>
      </c>
      <c r="D55" s="3" t="s">
        <v>516</v>
      </c>
      <c r="E55" s="3" t="s">
        <v>519</v>
      </c>
      <c r="F55" s="3" t="s">
        <v>520</v>
      </c>
      <c r="G55" s="3"/>
      <c r="H55" s="5" t="s">
        <v>414</v>
      </c>
      <c r="I55" s="5" t="s">
        <v>415</v>
      </c>
      <c r="J55" s="3"/>
      <c r="K55" s="3"/>
      <c r="L55" s="3"/>
      <c r="M55" s="5" t="s">
        <v>45</v>
      </c>
    </row>
    <row r="56" spans="2:13" ht="29" x14ac:dyDescent="0.35">
      <c r="B56" s="8">
        <v>49</v>
      </c>
      <c r="C56" s="3" t="s">
        <v>20</v>
      </c>
      <c r="D56" s="3" t="s">
        <v>516</v>
      </c>
      <c r="E56" s="3" t="s">
        <v>521</v>
      </c>
      <c r="F56" s="3" t="s">
        <v>522</v>
      </c>
      <c r="G56" s="3"/>
      <c r="H56" s="5" t="s">
        <v>414</v>
      </c>
      <c r="I56" s="5" t="s">
        <v>415</v>
      </c>
      <c r="J56" s="3"/>
      <c r="K56" s="3"/>
      <c r="L56" s="3"/>
      <c r="M56" s="5" t="s">
        <v>45</v>
      </c>
    </row>
    <row r="57" spans="2:13" ht="29" x14ac:dyDescent="0.35">
      <c r="B57" s="8">
        <v>50</v>
      </c>
      <c r="C57" s="3" t="s">
        <v>20</v>
      </c>
      <c r="D57" s="3" t="s">
        <v>523</v>
      </c>
      <c r="E57" s="3" t="s">
        <v>524</v>
      </c>
      <c r="F57" s="3" t="s">
        <v>525</v>
      </c>
      <c r="G57" s="3"/>
      <c r="H57" s="5" t="s">
        <v>414</v>
      </c>
      <c r="I57" s="5" t="s">
        <v>415</v>
      </c>
      <c r="J57" s="3"/>
      <c r="K57" s="3"/>
      <c r="L57" s="3"/>
      <c r="M57" s="5" t="s">
        <v>45</v>
      </c>
    </row>
    <row r="58" spans="2:13" ht="29" x14ac:dyDescent="0.35">
      <c r="B58" s="8">
        <v>51</v>
      </c>
      <c r="C58" s="3" t="s">
        <v>20</v>
      </c>
      <c r="D58" s="3" t="s">
        <v>523</v>
      </c>
      <c r="E58" s="3" t="s">
        <v>526</v>
      </c>
      <c r="F58" s="3" t="s">
        <v>527</v>
      </c>
      <c r="G58" s="3"/>
      <c r="H58" s="5" t="s">
        <v>414</v>
      </c>
      <c r="I58" s="5" t="s">
        <v>415</v>
      </c>
      <c r="J58" s="3"/>
      <c r="K58" s="3"/>
      <c r="L58" s="3"/>
      <c r="M58" s="5" t="s">
        <v>45</v>
      </c>
    </row>
    <row r="59" spans="2:13" ht="29" x14ac:dyDescent="0.35">
      <c r="B59" s="8">
        <v>52</v>
      </c>
      <c r="C59" s="3" t="s">
        <v>20</v>
      </c>
      <c r="D59" s="3" t="s">
        <v>523</v>
      </c>
      <c r="E59" s="3" t="s">
        <v>528</v>
      </c>
      <c r="F59" s="3" t="s">
        <v>529</v>
      </c>
      <c r="G59" s="3"/>
      <c r="H59" s="5" t="s">
        <v>414</v>
      </c>
      <c r="I59" s="5" t="s">
        <v>415</v>
      </c>
      <c r="J59" s="3"/>
      <c r="K59" s="3"/>
      <c r="L59" s="3"/>
      <c r="M59" s="5" t="s">
        <v>45</v>
      </c>
    </row>
    <row r="60" spans="2:13" ht="29" x14ac:dyDescent="0.35">
      <c r="B60" s="8">
        <v>53</v>
      </c>
      <c r="C60" s="3" t="s">
        <v>20</v>
      </c>
      <c r="D60" s="3" t="s">
        <v>523</v>
      </c>
      <c r="E60" s="3" t="s">
        <v>530</v>
      </c>
      <c r="F60" s="3" t="s">
        <v>531</v>
      </c>
      <c r="G60" s="3"/>
      <c r="H60" s="5" t="s">
        <v>609</v>
      </c>
      <c r="I60" s="216">
        <v>0.5</v>
      </c>
      <c r="J60" s="3"/>
      <c r="K60" s="3"/>
      <c r="L60" s="3"/>
      <c r="M60" s="5" t="s">
        <v>45</v>
      </c>
    </row>
    <row r="61" spans="2:13" ht="29" x14ac:dyDescent="0.35">
      <c r="B61" s="8">
        <v>54</v>
      </c>
      <c r="C61" s="3" t="s">
        <v>20</v>
      </c>
      <c r="D61" s="3" t="s">
        <v>532</v>
      </c>
      <c r="E61" s="3" t="s">
        <v>533</v>
      </c>
      <c r="F61" s="3" t="s">
        <v>534</v>
      </c>
      <c r="G61" s="3"/>
      <c r="H61" s="5" t="s">
        <v>414</v>
      </c>
      <c r="I61" s="5" t="s">
        <v>415</v>
      </c>
      <c r="J61" s="3"/>
      <c r="K61" s="3"/>
      <c r="L61" s="3"/>
      <c r="M61" s="5" t="s">
        <v>45</v>
      </c>
    </row>
    <row r="62" spans="2:13" ht="29" x14ac:dyDescent="0.35">
      <c r="B62" s="8">
        <v>55</v>
      </c>
      <c r="C62" s="3" t="s">
        <v>20</v>
      </c>
      <c r="D62" s="3" t="s">
        <v>532</v>
      </c>
      <c r="E62" s="3" t="s">
        <v>535</v>
      </c>
      <c r="F62" s="3" t="s">
        <v>536</v>
      </c>
      <c r="G62" s="3"/>
      <c r="H62" s="5" t="s">
        <v>414</v>
      </c>
      <c r="I62" s="5" t="s">
        <v>415</v>
      </c>
      <c r="J62" s="3"/>
      <c r="K62" s="3"/>
      <c r="L62" s="3"/>
      <c r="M62" s="5" t="s">
        <v>45</v>
      </c>
    </row>
    <row r="63" spans="2:13" ht="29" x14ac:dyDescent="0.35">
      <c r="B63" s="8">
        <v>56</v>
      </c>
      <c r="C63" s="3" t="s">
        <v>20</v>
      </c>
      <c r="D63" s="3" t="s">
        <v>532</v>
      </c>
      <c r="E63" s="3" t="s">
        <v>537</v>
      </c>
      <c r="F63" s="3" t="s">
        <v>538</v>
      </c>
      <c r="G63" s="3"/>
      <c r="H63" s="5" t="s">
        <v>414</v>
      </c>
      <c r="I63" s="5" t="s">
        <v>415</v>
      </c>
      <c r="J63" s="3"/>
      <c r="K63" s="3"/>
      <c r="L63" s="3"/>
      <c r="M63" s="5" t="s">
        <v>45</v>
      </c>
    </row>
    <row r="64" spans="2:13" ht="29" x14ac:dyDescent="0.35">
      <c r="B64" s="8">
        <v>57</v>
      </c>
      <c r="C64" s="3" t="s">
        <v>20</v>
      </c>
      <c r="D64" s="3" t="s">
        <v>532</v>
      </c>
      <c r="E64" s="3" t="s">
        <v>539</v>
      </c>
      <c r="F64" s="3" t="s">
        <v>540</v>
      </c>
      <c r="G64" s="3"/>
      <c r="H64" s="5" t="s">
        <v>414</v>
      </c>
      <c r="I64" s="5" t="s">
        <v>415</v>
      </c>
      <c r="J64" s="3"/>
      <c r="K64" s="3"/>
      <c r="L64" s="3"/>
      <c r="M64" s="5" t="s">
        <v>45</v>
      </c>
    </row>
    <row r="65" spans="2:13" ht="29" x14ac:dyDescent="0.35">
      <c r="B65" s="8">
        <v>58</v>
      </c>
      <c r="C65" s="3" t="s">
        <v>20</v>
      </c>
      <c r="D65" s="3" t="s">
        <v>532</v>
      </c>
      <c r="E65" s="3" t="s">
        <v>541</v>
      </c>
      <c r="F65" s="3" t="s">
        <v>542</v>
      </c>
      <c r="G65" s="3"/>
      <c r="H65" s="5" t="s">
        <v>414</v>
      </c>
      <c r="I65" s="5" t="s">
        <v>415</v>
      </c>
      <c r="J65" s="3"/>
      <c r="K65" s="3"/>
      <c r="L65" s="3"/>
      <c r="M65" s="5" t="s">
        <v>45</v>
      </c>
    </row>
    <row r="66" spans="2:13" ht="29" x14ac:dyDescent="0.35">
      <c r="B66" s="8">
        <v>59</v>
      </c>
      <c r="C66" s="3" t="s">
        <v>20</v>
      </c>
      <c r="D66" s="3" t="s">
        <v>532</v>
      </c>
      <c r="E66" s="3" t="s">
        <v>543</v>
      </c>
      <c r="F66" s="3" t="s">
        <v>544</v>
      </c>
      <c r="G66" s="3"/>
      <c r="H66" s="5" t="s">
        <v>414</v>
      </c>
      <c r="I66" s="5" t="s">
        <v>415</v>
      </c>
      <c r="J66" s="3"/>
      <c r="K66" s="3"/>
      <c r="L66" s="3"/>
      <c r="M66" s="5" t="s">
        <v>45</v>
      </c>
    </row>
    <row r="67" spans="2:13" ht="29" x14ac:dyDescent="0.35">
      <c r="B67" s="8">
        <v>60</v>
      </c>
      <c r="C67" s="3" t="s">
        <v>21</v>
      </c>
      <c r="D67" s="3" t="s">
        <v>545</v>
      </c>
      <c r="E67" s="3" t="s">
        <v>546</v>
      </c>
      <c r="F67" s="3" t="s">
        <v>547</v>
      </c>
      <c r="G67" s="3"/>
      <c r="H67" s="5" t="s">
        <v>414</v>
      </c>
      <c r="I67" s="5" t="s">
        <v>415</v>
      </c>
      <c r="J67" s="3"/>
      <c r="K67" s="3"/>
      <c r="L67" s="3"/>
      <c r="M67" s="5" t="s">
        <v>45</v>
      </c>
    </row>
  </sheetData>
  <mergeCells count="3">
    <mergeCell ref="B6:M6"/>
    <mergeCell ref="B4:M4"/>
    <mergeCell ref="B5:M5"/>
  </mergeCells>
  <conditionalFormatting sqref="H8:H67">
    <cfRule type="expression" dxfId="6" priority="1">
      <formula>$H8="Lengkap"</formula>
    </cfRule>
    <cfRule type="expression" dxfId="5" priority="2">
      <formula>$H8="Proses"</formula>
    </cfRule>
    <cfRule type="expression" dxfId="4" priority="3">
      <formula>$H8="Perlu Revisi"</formula>
    </cfRule>
  </conditionalFormatting>
  <dataValidations count="3">
    <dataValidation type="list" allowBlank="1" sqref="H8:H67" xr:uid="{00000000-0002-0000-0600-000000000000}">
      <formula1>"Belum Ada,Proses,Lengkap,Perlu Revisi"</formula1>
    </dataValidation>
    <dataValidation type="list" allowBlank="1" sqref="I8:I67" xr:uid="{00000000-0002-0000-0600-000001000000}">
      <formula1>"0%,25%,50%,75%,100%"</formula1>
    </dataValidation>
    <dataValidation type="list" allowBlank="1" sqref="M8:M67" xr:uid="{00000000-0002-0000-0600-000002000000}">
      <formula1>"Tinggi,Sedang,Rendah"</formula1>
    </dataValidation>
  </dataValidations>
  <pageMargins left="0.75" right="0.75" top="1" bottom="1" header="0.5" footer="0.5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81"/>
  <sheetViews>
    <sheetView showGridLines="0" workbookViewId="0">
      <selection activeCell="E7" sqref="E7"/>
    </sheetView>
  </sheetViews>
  <sheetFormatPr defaultRowHeight="14.5" x14ac:dyDescent="0.35"/>
  <cols>
    <col min="1" max="1" width="8.7265625" style="21"/>
    <col min="2" max="2" width="10.453125" customWidth="1"/>
    <col min="3" max="3" width="16" customWidth="1"/>
    <col min="4" max="4" width="38" style="34" customWidth="1"/>
    <col min="5" max="5" width="22" customWidth="1"/>
    <col min="6" max="6" width="16" customWidth="1"/>
    <col min="7" max="7" width="12" customWidth="1"/>
    <col min="8" max="42" width="4.1796875" customWidth="1"/>
    <col min="43" max="43" width="8.7265625" style="21"/>
  </cols>
  <sheetData>
    <row r="1" spans="2:43" s="21" customFormat="1" x14ac:dyDescent="0.35">
      <c r="D1" s="32"/>
    </row>
    <row r="2" spans="2:43" s="21" customFormat="1" x14ac:dyDescent="0.35">
      <c r="D2" s="32"/>
    </row>
    <row r="3" spans="2:43" s="21" customFormat="1" x14ac:dyDescent="0.35">
      <c r="D3" s="32"/>
    </row>
    <row r="4" spans="2:43" s="21" customFormat="1" x14ac:dyDescent="0.35">
      <c r="D4" s="32"/>
    </row>
    <row r="5" spans="2:43" x14ac:dyDescent="0.35">
      <c r="B5" s="207" t="s">
        <v>291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</row>
    <row r="7" spans="2:43" ht="29" x14ac:dyDescent="0.35">
      <c r="B7" s="51" t="s">
        <v>0</v>
      </c>
      <c r="C7" s="52">
        <f>COUNTA('MASTER PLAN'!D7:D203)</f>
        <v>31</v>
      </c>
      <c r="D7" s="43"/>
      <c r="E7" s="53" t="s">
        <v>292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2:43" ht="29" x14ac:dyDescent="0.35">
      <c r="B8" s="51" t="s">
        <v>19</v>
      </c>
      <c r="C8" s="52">
        <f>COUNTIF('MASTER PLAN'!L7:L203,"Selesai")</f>
        <v>0</v>
      </c>
      <c r="D8" s="43"/>
      <c r="E8" s="54" t="s">
        <v>40</v>
      </c>
      <c r="F8" s="16"/>
      <c r="G8" s="55" t="s">
        <v>108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2:43" x14ac:dyDescent="0.35">
      <c r="B9" s="51" t="s">
        <v>17</v>
      </c>
      <c r="C9" s="52">
        <f>COUNTIF('MASTER PLAN'!L7:L203,"Berjalan")</f>
        <v>1</v>
      </c>
      <c r="D9" s="43"/>
      <c r="E9" s="56" t="s">
        <v>61</v>
      </c>
      <c r="F9" s="16"/>
      <c r="G9" s="57" t="s">
        <v>126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2:43" ht="29" x14ac:dyDescent="0.35">
      <c r="B10" s="51" t="s">
        <v>15</v>
      </c>
      <c r="C10" s="52">
        <f>COUNTIF('MASTER PLAN'!L7:L203,"Belum Mulai")</f>
        <v>30</v>
      </c>
      <c r="D10" s="43"/>
      <c r="E10" s="58" t="s">
        <v>99</v>
      </c>
      <c r="F10" s="16"/>
      <c r="G10" s="59" t="s">
        <v>164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2:43" x14ac:dyDescent="0.35">
      <c r="B11" s="51" t="s">
        <v>3</v>
      </c>
      <c r="C11" s="52">
        <f>COUNTIF('MASTER PLAN'!L7:L203,"Terlambat")</f>
        <v>0</v>
      </c>
      <c r="D11" s="43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2:43" ht="29" x14ac:dyDescent="0.35">
      <c r="B12" s="51" t="s">
        <v>293</v>
      </c>
      <c r="C12" s="60">
        <f>AVERAGE('MASTER PLAN'!M7:M203)</f>
        <v>1.6129032258064516E-2</v>
      </c>
      <c r="D12" s="43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2:43" ht="8" customHeight="1" x14ac:dyDescent="0.35">
      <c r="B13" s="21"/>
      <c r="C13" s="21"/>
      <c r="D13" s="32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</row>
    <row r="14" spans="2:43" x14ac:dyDescent="0.35">
      <c r="B14" s="80"/>
      <c r="C14" s="80"/>
      <c r="D14" s="81"/>
      <c r="E14" s="80"/>
      <c r="F14" s="80"/>
      <c r="G14" s="80"/>
      <c r="H14" s="209" t="s">
        <v>182</v>
      </c>
      <c r="I14" s="210"/>
      <c r="J14" s="210"/>
      <c r="K14" s="210"/>
      <c r="L14" s="210"/>
      <c r="M14" s="209" t="s">
        <v>201</v>
      </c>
      <c r="N14" s="210"/>
      <c r="O14" s="210"/>
      <c r="P14" s="210"/>
      <c r="Q14" s="210"/>
      <c r="R14" s="209" t="s">
        <v>215</v>
      </c>
      <c r="S14" s="210"/>
      <c r="T14" s="210"/>
      <c r="U14" s="210"/>
      <c r="V14" s="210"/>
      <c r="W14" s="209" t="s">
        <v>231</v>
      </c>
      <c r="X14" s="210"/>
      <c r="Y14" s="210"/>
      <c r="Z14" s="210"/>
      <c r="AA14" s="210"/>
      <c r="AB14" s="209" t="s">
        <v>245</v>
      </c>
      <c r="AC14" s="210"/>
      <c r="AD14" s="210"/>
      <c r="AE14" s="210"/>
      <c r="AF14" s="210"/>
      <c r="AG14" s="209" t="s">
        <v>261</v>
      </c>
      <c r="AH14" s="210"/>
      <c r="AI14" s="210"/>
      <c r="AJ14" s="210"/>
      <c r="AK14" s="210"/>
      <c r="AL14" s="209" t="s">
        <v>277</v>
      </c>
      <c r="AM14" s="210"/>
      <c r="AN14" s="210"/>
      <c r="AO14" s="210"/>
      <c r="AP14" s="210"/>
    </row>
    <row r="15" spans="2:43" x14ac:dyDescent="0.35">
      <c r="B15" s="61" t="s">
        <v>26</v>
      </c>
      <c r="C15" s="61" t="s">
        <v>27</v>
      </c>
      <c r="D15" s="62" t="s">
        <v>28</v>
      </c>
      <c r="E15" s="61" t="s">
        <v>22</v>
      </c>
      <c r="F15" s="61" t="s">
        <v>10</v>
      </c>
      <c r="G15" s="61" t="s">
        <v>35</v>
      </c>
      <c r="H15" s="61" t="s">
        <v>294</v>
      </c>
      <c r="I15" s="61" t="s">
        <v>295</v>
      </c>
      <c r="J15" s="61" t="s">
        <v>296</v>
      </c>
      <c r="K15" s="61" t="s">
        <v>297</v>
      </c>
      <c r="L15" s="61" t="s">
        <v>298</v>
      </c>
      <c r="M15" s="61" t="s">
        <v>294</v>
      </c>
      <c r="N15" s="61" t="s">
        <v>295</v>
      </c>
      <c r="O15" s="61" t="s">
        <v>296</v>
      </c>
      <c r="P15" s="61" t="s">
        <v>297</v>
      </c>
      <c r="Q15" s="61" t="s">
        <v>298</v>
      </c>
      <c r="R15" s="61" t="s">
        <v>294</v>
      </c>
      <c r="S15" s="61" t="s">
        <v>295</v>
      </c>
      <c r="T15" s="61" t="s">
        <v>296</v>
      </c>
      <c r="U15" s="61" t="s">
        <v>297</v>
      </c>
      <c r="V15" s="61" t="s">
        <v>298</v>
      </c>
      <c r="W15" s="61" t="s">
        <v>294</v>
      </c>
      <c r="X15" s="61" t="s">
        <v>295</v>
      </c>
      <c r="Y15" s="61" t="s">
        <v>296</v>
      </c>
      <c r="Z15" s="61" t="s">
        <v>297</v>
      </c>
      <c r="AA15" s="61" t="s">
        <v>298</v>
      </c>
      <c r="AB15" s="61" t="s">
        <v>294</v>
      </c>
      <c r="AC15" s="61" t="s">
        <v>295</v>
      </c>
      <c r="AD15" s="61" t="s">
        <v>296</v>
      </c>
      <c r="AE15" s="61" t="s">
        <v>297</v>
      </c>
      <c r="AF15" s="61" t="s">
        <v>298</v>
      </c>
      <c r="AG15" s="61" t="s">
        <v>294</v>
      </c>
      <c r="AH15" s="61" t="s">
        <v>295</v>
      </c>
      <c r="AI15" s="61" t="s">
        <v>296</v>
      </c>
      <c r="AJ15" s="61" t="s">
        <v>297</v>
      </c>
      <c r="AK15" s="61" t="s">
        <v>298</v>
      </c>
      <c r="AL15" s="61" t="s">
        <v>294</v>
      </c>
      <c r="AM15" s="61" t="s">
        <v>295</v>
      </c>
      <c r="AN15" s="61" t="s">
        <v>296</v>
      </c>
      <c r="AO15" s="61" t="s">
        <v>297</v>
      </c>
      <c r="AP15" s="61" t="s">
        <v>298</v>
      </c>
    </row>
    <row r="16" spans="2:43" ht="32" customHeight="1" x14ac:dyDescent="0.35">
      <c r="B16" s="63">
        <v>1</v>
      </c>
      <c r="C16" s="64" t="s">
        <v>40</v>
      </c>
      <c r="D16" s="65" t="s">
        <v>41</v>
      </c>
      <c r="E16" s="66" t="s">
        <v>299</v>
      </c>
      <c r="F16" s="63" t="str">
        <f>'MASTER PLAN'!L7</f>
        <v>Berjalan</v>
      </c>
      <c r="G16" s="67">
        <f>'MASTER PLAN'!M7</f>
        <v>0.5</v>
      </c>
      <c r="H16" s="64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2:42" ht="32" customHeight="1" x14ac:dyDescent="0.35">
      <c r="B17" s="63">
        <v>2</v>
      </c>
      <c r="C17" s="64" t="s">
        <v>40</v>
      </c>
      <c r="D17" s="65" t="s">
        <v>46</v>
      </c>
      <c r="E17" s="66" t="s">
        <v>300</v>
      </c>
      <c r="F17" s="63" t="str">
        <f>'MASTER PLAN'!L8</f>
        <v>Belum Mulai</v>
      </c>
      <c r="G17" s="67">
        <f>'MASTER PLAN'!M8</f>
        <v>0</v>
      </c>
      <c r="H17" s="64"/>
      <c r="I17" s="64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2:42" ht="32" customHeight="1" x14ac:dyDescent="0.35">
      <c r="B18" s="63">
        <v>3</v>
      </c>
      <c r="C18" s="64" t="s">
        <v>40</v>
      </c>
      <c r="D18" s="65" t="s">
        <v>50</v>
      </c>
      <c r="E18" s="66" t="s">
        <v>301</v>
      </c>
      <c r="F18" s="63" t="str">
        <f>'MASTER PLAN'!L9</f>
        <v>Belum Mulai</v>
      </c>
      <c r="G18" s="67">
        <f>'MASTER PLAN'!M9</f>
        <v>0</v>
      </c>
      <c r="H18" s="68"/>
      <c r="I18" s="64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2:42" ht="32" customHeight="1" x14ac:dyDescent="0.35">
      <c r="B19" s="63">
        <v>4</v>
      </c>
      <c r="C19" s="64" t="s">
        <v>40</v>
      </c>
      <c r="D19" s="65" t="s">
        <v>53</v>
      </c>
      <c r="E19" s="66" t="s">
        <v>302</v>
      </c>
      <c r="F19" s="63" t="str">
        <f>'MASTER PLAN'!L10</f>
        <v>Belum Mulai</v>
      </c>
      <c r="G19" s="67">
        <f>'MASTER PLAN'!M10</f>
        <v>0</v>
      </c>
      <c r="H19" s="68"/>
      <c r="I19" s="64"/>
      <c r="J19" s="64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2:42" ht="32" customHeight="1" x14ac:dyDescent="0.35">
      <c r="B20" s="63">
        <v>5</v>
      </c>
      <c r="C20" s="64" t="s">
        <v>40</v>
      </c>
      <c r="D20" s="65" t="s">
        <v>57</v>
      </c>
      <c r="E20" s="66" t="s">
        <v>303</v>
      </c>
      <c r="F20" s="63" t="str">
        <f>'MASTER PLAN'!L11</f>
        <v>Belum Mulai</v>
      </c>
      <c r="G20" s="67">
        <f>'MASTER PLAN'!M11</f>
        <v>0</v>
      </c>
      <c r="H20" s="68"/>
      <c r="I20" s="68"/>
      <c r="J20" s="64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2:42" ht="32" customHeight="1" x14ac:dyDescent="0.35">
      <c r="B21" s="63">
        <v>6</v>
      </c>
      <c r="C21" s="69" t="s">
        <v>61</v>
      </c>
      <c r="D21" s="65" t="s">
        <v>62</v>
      </c>
      <c r="E21" s="66" t="s">
        <v>304</v>
      </c>
      <c r="F21" s="63" t="str">
        <f>'MASTER PLAN'!L12</f>
        <v>Belum Mulai</v>
      </c>
      <c r="G21" s="67">
        <f>'MASTER PLAN'!M12</f>
        <v>0</v>
      </c>
      <c r="H21" s="68"/>
      <c r="I21" s="68"/>
      <c r="J21" s="68"/>
      <c r="K21" s="69"/>
      <c r="L21" s="69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2:42" ht="32" customHeight="1" x14ac:dyDescent="0.35">
      <c r="B22" s="63">
        <v>7</v>
      </c>
      <c r="C22" s="69" t="s">
        <v>61</v>
      </c>
      <c r="D22" s="65" t="s">
        <v>67</v>
      </c>
      <c r="E22" s="66" t="s">
        <v>305</v>
      </c>
      <c r="F22" s="63" t="str">
        <f>'MASTER PLAN'!L13</f>
        <v>Belum Mulai</v>
      </c>
      <c r="G22" s="67">
        <f>'MASTER PLAN'!M13</f>
        <v>0</v>
      </c>
      <c r="H22" s="68"/>
      <c r="I22" s="68"/>
      <c r="J22" s="68"/>
      <c r="K22" s="68"/>
      <c r="L22" s="68"/>
      <c r="M22" s="69"/>
      <c r="N22" s="69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2:42" ht="32" customHeight="1" x14ac:dyDescent="0.35">
      <c r="B23" s="63">
        <v>8</v>
      </c>
      <c r="C23" s="69" t="s">
        <v>61</v>
      </c>
      <c r="D23" s="65" t="s">
        <v>72</v>
      </c>
      <c r="E23" s="66" t="s">
        <v>306</v>
      </c>
      <c r="F23" s="63" t="str">
        <f>'MASTER PLAN'!L14</f>
        <v>Belum Mulai</v>
      </c>
      <c r="G23" s="67">
        <f>'MASTER PLAN'!M14</f>
        <v>0</v>
      </c>
      <c r="H23" s="68"/>
      <c r="I23" s="68"/>
      <c r="J23" s="68"/>
      <c r="K23" s="68"/>
      <c r="L23" s="68"/>
      <c r="M23" s="69"/>
      <c r="N23" s="69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2:42" ht="32" customHeight="1" x14ac:dyDescent="0.35">
      <c r="B24" s="63">
        <v>9</v>
      </c>
      <c r="C24" s="69" t="s">
        <v>61</v>
      </c>
      <c r="D24" s="65" t="s">
        <v>75</v>
      </c>
      <c r="E24" s="66" t="s">
        <v>307</v>
      </c>
      <c r="F24" s="63" t="str">
        <f>'MASTER PLAN'!L15</f>
        <v>Belum Mulai</v>
      </c>
      <c r="G24" s="67">
        <f>'MASTER PLAN'!M15</f>
        <v>0</v>
      </c>
      <c r="H24" s="68"/>
      <c r="I24" s="68"/>
      <c r="J24" s="68"/>
      <c r="K24" s="68"/>
      <c r="L24" s="68"/>
      <c r="M24" s="68"/>
      <c r="N24" s="68"/>
      <c r="O24" s="69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5" spans="2:42" ht="32" customHeight="1" x14ac:dyDescent="0.35">
      <c r="B25" s="63">
        <v>10</v>
      </c>
      <c r="C25" s="69" t="s">
        <v>61</v>
      </c>
      <c r="D25" s="65" t="s">
        <v>79</v>
      </c>
      <c r="E25" s="66" t="s">
        <v>303</v>
      </c>
      <c r="F25" s="63" t="str">
        <f>'MASTER PLAN'!L16</f>
        <v>Belum Mulai</v>
      </c>
      <c r="G25" s="67">
        <f>'MASTER PLAN'!M16</f>
        <v>0</v>
      </c>
      <c r="H25" s="68"/>
      <c r="I25" s="68"/>
      <c r="J25" s="68"/>
      <c r="K25" s="68"/>
      <c r="L25" s="68"/>
      <c r="M25" s="68"/>
      <c r="N25" s="68"/>
      <c r="O25" s="69"/>
      <c r="P25" s="69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</row>
    <row r="26" spans="2:42" ht="32" customHeight="1" x14ac:dyDescent="0.35">
      <c r="B26" s="63">
        <v>11</v>
      </c>
      <c r="C26" s="69" t="s">
        <v>61</v>
      </c>
      <c r="D26" s="65" t="s">
        <v>83</v>
      </c>
      <c r="E26" s="66" t="s">
        <v>308</v>
      </c>
      <c r="F26" s="63" t="str">
        <f>'MASTER PLAN'!L17</f>
        <v>Belum Mulai</v>
      </c>
      <c r="G26" s="67">
        <f>'MASTER PLAN'!M17</f>
        <v>0</v>
      </c>
      <c r="H26" s="68"/>
      <c r="I26" s="68"/>
      <c r="J26" s="68"/>
      <c r="K26" s="68"/>
      <c r="L26" s="68"/>
      <c r="M26" s="68"/>
      <c r="N26" s="68"/>
      <c r="O26" s="68"/>
      <c r="P26" s="69"/>
      <c r="Q26" s="69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</row>
    <row r="27" spans="2:42" ht="32" customHeight="1" x14ac:dyDescent="0.35">
      <c r="B27" s="63">
        <v>12</v>
      </c>
      <c r="C27" s="69" t="s">
        <v>61</v>
      </c>
      <c r="D27" s="65" t="s">
        <v>87</v>
      </c>
      <c r="E27" s="66" t="s">
        <v>309</v>
      </c>
      <c r="F27" s="63" t="str">
        <f>'MASTER PLAN'!L18</f>
        <v>Belum Mulai</v>
      </c>
      <c r="G27" s="67">
        <f>'MASTER PLAN'!M18</f>
        <v>0</v>
      </c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9"/>
      <c r="S27" s="69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</row>
    <row r="28" spans="2:42" ht="32" customHeight="1" x14ac:dyDescent="0.35">
      <c r="B28" s="63">
        <v>13</v>
      </c>
      <c r="C28" s="69" t="s">
        <v>61</v>
      </c>
      <c r="D28" s="65" t="s">
        <v>92</v>
      </c>
      <c r="E28" s="66" t="s">
        <v>305</v>
      </c>
      <c r="F28" s="63" t="str">
        <f>'MASTER PLAN'!L19</f>
        <v>Belum Mulai</v>
      </c>
      <c r="G28" s="67">
        <f>'MASTER PLAN'!M19</f>
        <v>0</v>
      </c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9"/>
      <c r="S28" s="69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</row>
    <row r="29" spans="2:42" ht="32" customHeight="1" x14ac:dyDescent="0.35">
      <c r="B29" s="63">
        <v>14</v>
      </c>
      <c r="C29" s="64" t="s">
        <v>40</v>
      </c>
      <c r="D29" s="65" t="s">
        <v>95</v>
      </c>
      <c r="E29" s="66" t="s">
        <v>310</v>
      </c>
      <c r="F29" s="63" t="str">
        <f>'MASTER PLAN'!L20</f>
        <v>Belum Mulai</v>
      </c>
      <c r="G29" s="67">
        <f>'MASTER PLAN'!M20</f>
        <v>0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4"/>
      <c r="T29" s="64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</row>
    <row r="30" spans="2:42" ht="32" customHeight="1" x14ac:dyDescent="0.35">
      <c r="B30" s="63">
        <v>15</v>
      </c>
      <c r="C30" s="70" t="s">
        <v>99</v>
      </c>
      <c r="D30" s="65" t="s">
        <v>100</v>
      </c>
      <c r="E30" s="66" t="s">
        <v>311</v>
      </c>
      <c r="F30" s="63" t="str">
        <f>'MASTER PLAN'!L21</f>
        <v>Belum Mulai</v>
      </c>
      <c r="G30" s="67">
        <f>'MASTER PLAN'!M21</f>
        <v>0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70"/>
      <c r="U30" s="70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</row>
    <row r="31" spans="2:42" ht="32" customHeight="1" x14ac:dyDescent="0.35">
      <c r="B31" s="63">
        <v>16</v>
      </c>
      <c r="C31" s="69" t="s">
        <v>61</v>
      </c>
      <c r="D31" s="65" t="s">
        <v>104</v>
      </c>
      <c r="E31" s="66" t="s">
        <v>312</v>
      </c>
      <c r="F31" s="63" t="str">
        <f>'MASTER PLAN'!L22</f>
        <v>Belum Mulai</v>
      </c>
      <c r="G31" s="67">
        <f>'MASTER PLAN'!M22</f>
        <v>0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9"/>
      <c r="V31" s="69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</row>
    <row r="32" spans="2:42" ht="32" customHeight="1" x14ac:dyDescent="0.35">
      <c r="B32" s="63">
        <v>17</v>
      </c>
      <c r="C32" s="71" t="s">
        <v>108</v>
      </c>
      <c r="D32" s="65" t="s">
        <v>109</v>
      </c>
      <c r="E32" s="66" t="s">
        <v>313</v>
      </c>
      <c r="F32" s="63" t="str">
        <f>'MASTER PLAN'!L23</f>
        <v>Belum Mulai</v>
      </c>
      <c r="G32" s="67">
        <f>'MASTER PLAN'!M23</f>
        <v>0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71"/>
      <c r="X32" s="71"/>
      <c r="Y32" s="71"/>
      <c r="Z32" s="71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</row>
    <row r="33" spans="2:42" ht="32" customHeight="1" x14ac:dyDescent="0.35">
      <c r="B33" s="63">
        <v>18</v>
      </c>
      <c r="C33" s="71" t="s">
        <v>108</v>
      </c>
      <c r="D33" s="65" t="s">
        <v>114</v>
      </c>
      <c r="E33" s="66" t="s">
        <v>314</v>
      </c>
      <c r="F33" s="63" t="str">
        <f>'MASTER PLAN'!L24</f>
        <v>Belum Mulai</v>
      </c>
      <c r="G33" s="67">
        <f>'MASTER PLAN'!M24</f>
        <v>0</v>
      </c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71"/>
      <c r="X33" s="71"/>
      <c r="Y33" s="71"/>
      <c r="Z33" s="71"/>
      <c r="AA33" s="71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</row>
    <row r="34" spans="2:42" ht="32" customHeight="1" x14ac:dyDescent="0.35">
      <c r="B34" s="63">
        <v>19</v>
      </c>
      <c r="C34" s="71" t="s">
        <v>108</v>
      </c>
      <c r="D34" s="65" t="s">
        <v>118</v>
      </c>
      <c r="E34" s="66" t="s">
        <v>315</v>
      </c>
      <c r="F34" s="63" t="str">
        <f>'MASTER PLAN'!L25</f>
        <v>Belum Mulai</v>
      </c>
      <c r="G34" s="67">
        <f>'MASTER PLAN'!M25</f>
        <v>0</v>
      </c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71"/>
      <c r="Y34" s="71"/>
      <c r="Z34" s="71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</row>
    <row r="35" spans="2:42" ht="32" customHeight="1" x14ac:dyDescent="0.35">
      <c r="B35" s="63">
        <v>20</v>
      </c>
      <c r="C35" s="71" t="s">
        <v>108</v>
      </c>
      <c r="D35" s="65" t="s">
        <v>122</v>
      </c>
      <c r="E35" s="66" t="s">
        <v>316</v>
      </c>
      <c r="F35" s="63" t="str">
        <f>'MASTER PLAN'!L26</f>
        <v>Belum Mulai</v>
      </c>
      <c r="G35" s="67">
        <f>'MASTER PLAN'!M26</f>
        <v>0</v>
      </c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71"/>
      <c r="Z35" s="71"/>
      <c r="AA35" s="71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</row>
    <row r="36" spans="2:42" ht="32" customHeight="1" x14ac:dyDescent="0.35">
      <c r="B36" s="63">
        <v>21</v>
      </c>
      <c r="C36" s="72" t="s">
        <v>126</v>
      </c>
      <c r="D36" s="65" t="s">
        <v>127</v>
      </c>
      <c r="E36" s="66" t="s">
        <v>317</v>
      </c>
      <c r="F36" s="63" t="str">
        <f>'MASTER PLAN'!L27</f>
        <v>Belum Mulai</v>
      </c>
      <c r="G36" s="67">
        <f>'MASTER PLAN'!M27</f>
        <v>0</v>
      </c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72"/>
      <c r="AC36" s="72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</row>
    <row r="37" spans="2:42" ht="32" customHeight="1" x14ac:dyDescent="0.35">
      <c r="B37" s="63">
        <v>22</v>
      </c>
      <c r="C37" s="72" t="s">
        <v>126</v>
      </c>
      <c r="D37" s="65" t="s">
        <v>132</v>
      </c>
      <c r="E37" s="66" t="s">
        <v>318</v>
      </c>
      <c r="F37" s="63" t="str">
        <f>'MASTER PLAN'!L28</f>
        <v>Belum Mulai</v>
      </c>
      <c r="G37" s="67">
        <f>'MASTER PLAN'!M28</f>
        <v>0</v>
      </c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72"/>
      <c r="AD37" s="72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</row>
    <row r="38" spans="2:42" ht="32" customHeight="1" x14ac:dyDescent="0.35">
      <c r="B38" s="63">
        <v>23</v>
      </c>
      <c r="C38" s="72" t="s">
        <v>126</v>
      </c>
      <c r="D38" s="65" t="s">
        <v>136</v>
      </c>
      <c r="E38" s="66" t="s">
        <v>319</v>
      </c>
      <c r="F38" s="63" t="str">
        <f>'MASTER PLAN'!L29</f>
        <v>Belum Mulai</v>
      </c>
      <c r="G38" s="67">
        <f>'MASTER PLAN'!M29</f>
        <v>0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72"/>
      <c r="AE38" s="72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</row>
    <row r="39" spans="2:42" ht="32" customHeight="1" x14ac:dyDescent="0.35">
      <c r="B39" s="63">
        <v>24</v>
      </c>
      <c r="C39" s="72" t="s">
        <v>126</v>
      </c>
      <c r="D39" s="65" t="s">
        <v>140</v>
      </c>
      <c r="E39" s="66" t="s">
        <v>320</v>
      </c>
      <c r="F39" s="63" t="str">
        <f>'MASTER PLAN'!L30</f>
        <v>Belum Mulai</v>
      </c>
      <c r="G39" s="67">
        <f>'MASTER PLAN'!M30</f>
        <v>0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72"/>
      <c r="AF39" s="72"/>
      <c r="AG39" s="72"/>
      <c r="AH39" s="68"/>
      <c r="AI39" s="68"/>
      <c r="AJ39" s="68"/>
      <c r="AK39" s="68"/>
      <c r="AL39" s="68"/>
      <c r="AM39" s="68"/>
      <c r="AN39" s="68"/>
      <c r="AO39" s="68"/>
      <c r="AP39" s="68"/>
    </row>
    <row r="40" spans="2:42" ht="32" customHeight="1" x14ac:dyDescent="0.35">
      <c r="B40" s="63">
        <v>25</v>
      </c>
      <c r="C40" s="69" t="s">
        <v>61</v>
      </c>
      <c r="D40" s="65" t="s">
        <v>144</v>
      </c>
      <c r="E40" s="66" t="s">
        <v>321</v>
      </c>
      <c r="F40" s="63" t="str">
        <f>'MASTER PLAN'!L31</f>
        <v>Belum Mulai</v>
      </c>
      <c r="G40" s="67">
        <f>'MASTER PLAN'!M31</f>
        <v>0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9"/>
      <c r="AH40" s="69"/>
      <c r="AI40" s="68"/>
      <c r="AJ40" s="68"/>
      <c r="AK40" s="68"/>
      <c r="AL40" s="68"/>
      <c r="AM40" s="68"/>
      <c r="AN40" s="68"/>
      <c r="AO40" s="68"/>
      <c r="AP40" s="68"/>
    </row>
    <row r="41" spans="2:42" ht="32" customHeight="1" x14ac:dyDescent="0.35">
      <c r="B41" s="63">
        <v>26</v>
      </c>
      <c r="C41" s="64" t="s">
        <v>40</v>
      </c>
      <c r="D41" s="65" t="s">
        <v>148</v>
      </c>
      <c r="E41" s="66" t="s">
        <v>322</v>
      </c>
      <c r="F41" s="63" t="str">
        <f>'MASTER PLAN'!L32</f>
        <v>Belum Mulai</v>
      </c>
      <c r="G41" s="67">
        <f>'MASTER PLAN'!M32</f>
        <v>0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4"/>
      <c r="AI41" s="64"/>
      <c r="AJ41" s="68"/>
      <c r="AK41" s="68"/>
      <c r="AL41" s="68"/>
      <c r="AM41" s="68"/>
      <c r="AN41" s="68"/>
      <c r="AO41" s="68"/>
      <c r="AP41" s="68"/>
    </row>
    <row r="42" spans="2:42" ht="32" customHeight="1" x14ac:dyDescent="0.35">
      <c r="B42" s="63">
        <v>27</v>
      </c>
      <c r="C42" s="72" t="s">
        <v>126</v>
      </c>
      <c r="D42" s="65" t="s">
        <v>152</v>
      </c>
      <c r="E42" s="66" t="s">
        <v>300</v>
      </c>
      <c r="F42" s="63" t="str">
        <f>'MASTER PLAN'!L33</f>
        <v>Belum Mulai</v>
      </c>
      <c r="G42" s="67">
        <f>'MASTER PLAN'!M33</f>
        <v>0</v>
      </c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72"/>
      <c r="AJ42" s="72"/>
      <c r="AK42" s="68"/>
      <c r="AL42" s="68"/>
      <c r="AM42" s="68"/>
      <c r="AN42" s="68"/>
      <c r="AO42" s="68"/>
      <c r="AP42" s="68"/>
    </row>
    <row r="43" spans="2:42" ht="32" customHeight="1" x14ac:dyDescent="0.35">
      <c r="B43" s="63">
        <v>28</v>
      </c>
      <c r="C43" s="72" t="s">
        <v>126</v>
      </c>
      <c r="D43" s="65" t="s">
        <v>156</v>
      </c>
      <c r="E43" s="66" t="s">
        <v>323</v>
      </c>
      <c r="F43" s="63" t="str">
        <f>'MASTER PLAN'!L34</f>
        <v>Belum Mulai</v>
      </c>
      <c r="G43" s="67">
        <f>'MASTER PLAN'!M34</f>
        <v>0</v>
      </c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72"/>
      <c r="AK43" s="72"/>
      <c r="AL43" s="72"/>
      <c r="AM43" s="68"/>
      <c r="AN43" s="68"/>
      <c r="AO43" s="68"/>
      <c r="AP43" s="68"/>
    </row>
    <row r="44" spans="2:42" ht="32" customHeight="1" x14ac:dyDescent="0.35">
      <c r="B44" s="63">
        <v>29</v>
      </c>
      <c r="C44" s="72" t="s">
        <v>126</v>
      </c>
      <c r="D44" s="65" t="s">
        <v>160</v>
      </c>
      <c r="E44" s="66" t="s">
        <v>301</v>
      </c>
      <c r="F44" s="63" t="str">
        <f>'MASTER PLAN'!L35</f>
        <v>Belum Mulai</v>
      </c>
      <c r="G44" s="67">
        <f>'MASTER PLAN'!M35</f>
        <v>0</v>
      </c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72"/>
      <c r="AM44" s="72"/>
      <c r="AN44" s="68"/>
      <c r="AO44" s="68"/>
      <c r="AP44" s="68"/>
    </row>
    <row r="45" spans="2:42" ht="32" customHeight="1" x14ac:dyDescent="0.35">
      <c r="B45" s="63">
        <v>30</v>
      </c>
      <c r="C45" s="73" t="s">
        <v>164</v>
      </c>
      <c r="D45" s="65" t="s">
        <v>165</v>
      </c>
      <c r="E45" s="66" t="s">
        <v>300</v>
      </c>
      <c r="F45" s="63" t="str">
        <f>'MASTER PLAN'!L36</f>
        <v>Belum Mulai</v>
      </c>
      <c r="G45" s="67">
        <f>'MASTER PLAN'!M36</f>
        <v>0</v>
      </c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73"/>
      <c r="AN45" s="73"/>
      <c r="AO45" s="68"/>
      <c r="AP45" s="68"/>
    </row>
    <row r="46" spans="2:42" ht="32" customHeight="1" x14ac:dyDescent="0.35">
      <c r="B46" s="74">
        <v>31</v>
      </c>
      <c r="C46" s="75" t="s">
        <v>164</v>
      </c>
      <c r="D46" s="76" t="s">
        <v>169</v>
      </c>
      <c r="E46" s="77" t="s">
        <v>317</v>
      </c>
      <c r="F46" s="74" t="str">
        <f>'MASTER PLAN'!L37</f>
        <v>Belum Mulai</v>
      </c>
      <c r="G46" s="78">
        <f>'MASTER PLAN'!M37</f>
        <v>0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5"/>
      <c r="AP46" s="75"/>
    </row>
    <row r="47" spans="2:42" s="21" customFormat="1" x14ac:dyDescent="0.35">
      <c r="D47" s="32"/>
    </row>
    <row r="48" spans="2:42" s="21" customFormat="1" x14ac:dyDescent="0.35">
      <c r="D48" s="32"/>
    </row>
    <row r="49" spans="4:4" s="21" customFormat="1" x14ac:dyDescent="0.35">
      <c r="D49" s="32"/>
    </row>
    <row r="50" spans="4:4" s="21" customFormat="1" x14ac:dyDescent="0.35">
      <c r="D50" s="32"/>
    </row>
    <row r="51" spans="4:4" s="21" customFormat="1" x14ac:dyDescent="0.35">
      <c r="D51" s="32"/>
    </row>
    <row r="52" spans="4:4" s="21" customFormat="1" x14ac:dyDescent="0.35">
      <c r="D52" s="32"/>
    </row>
    <row r="53" spans="4:4" s="21" customFormat="1" x14ac:dyDescent="0.35">
      <c r="D53" s="32"/>
    </row>
    <row r="54" spans="4:4" s="21" customFormat="1" x14ac:dyDescent="0.35">
      <c r="D54" s="32"/>
    </row>
    <row r="55" spans="4:4" s="21" customFormat="1" x14ac:dyDescent="0.35">
      <c r="D55" s="32"/>
    </row>
    <row r="56" spans="4:4" s="21" customFormat="1" x14ac:dyDescent="0.35">
      <c r="D56" s="32"/>
    </row>
    <row r="57" spans="4:4" s="21" customFormat="1" x14ac:dyDescent="0.35">
      <c r="D57" s="32"/>
    </row>
    <row r="58" spans="4:4" s="21" customFormat="1" x14ac:dyDescent="0.35">
      <c r="D58" s="32"/>
    </row>
    <row r="59" spans="4:4" s="21" customFormat="1" x14ac:dyDescent="0.35">
      <c r="D59" s="32"/>
    </row>
    <row r="60" spans="4:4" s="21" customFormat="1" x14ac:dyDescent="0.35">
      <c r="D60" s="32"/>
    </row>
    <row r="61" spans="4:4" s="21" customFormat="1" x14ac:dyDescent="0.35">
      <c r="D61" s="32"/>
    </row>
    <row r="62" spans="4:4" s="21" customFormat="1" x14ac:dyDescent="0.35">
      <c r="D62" s="32"/>
    </row>
    <row r="63" spans="4:4" s="21" customFormat="1" x14ac:dyDescent="0.35">
      <c r="D63" s="32"/>
    </row>
    <row r="64" spans="4:4" s="21" customFormat="1" x14ac:dyDescent="0.35">
      <c r="D64" s="32"/>
    </row>
    <row r="65" spans="4:4" s="21" customFormat="1" x14ac:dyDescent="0.35">
      <c r="D65" s="32"/>
    </row>
    <row r="66" spans="4:4" s="21" customFormat="1" x14ac:dyDescent="0.35">
      <c r="D66" s="32"/>
    </row>
    <row r="67" spans="4:4" s="21" customFormat="1" x14ac:dyDescent="0.35">
      <c r="D67" s="32"/>
    </row>
    <row r="68" spans="4:4" s="21" customFormat="1" x14ac:dyDescent="0.35">
      <c r="D68" s="32"/>
    </row>
    <row r="69" spans="4:4" s="21" customFormat="1" x14ac:dyDescent="0.35">
      <c r="D69" s="32"/>
    </row>
    <row r="70" spans="4:4" s="21" customFormat="1" x14ac:dyDescent="0.35">
      <c r="D70" s="32"/>
    </row>
    <row r="71" spans="4:4" s="21" customFormat="1" x14ac:dyDescent="0.35">
      <c r="D71" s="32"/>
    </row>
    <row r="72" spans="4:4" s="21" customFormat="1" x14ac:dyDescent="0.35">
      <c r="D72" s="32"/>
    </row>
    <row r="73" spans="4:4" s="21" customFormat="1" x14ac:dyDescent="0.35">
      <c r="D73" s="32"/>
    </row>
    <row r="74" spans="4:4" s="21" customFormat="1" x14ac:dyDescent="0.35">
      <c r="D74" s="32"/>
    </row>
    <row r="75" spans="4:4" s="21" customFormat="1" x14ac:dyDescent="0.35">
      <c r="D75" s="32"/>
    </row>
    <row r="76" spans="4:4" s="21" customFormat="1" x14ac:dyDescent="0.35">
      <c r="D76" s="32"/>
    </row>
    <row r="77" spans="4:4" s="21" customFormat="1" x14ac:dyDescent="0.35">
      <c r="D77" s="32"/>
    </row>
    <row r="78" spans="4:4" s="21" customFormat="1" x14ac:dyDescent="0.35">
      <c r="D78" s="32"/>
    </row>
    <row r="79" spans="4:4" s="21" customFormat="1" x14ac:dyDescent="0.35">
      <c r="D79" s="32"/>
    </row>
    <row r="80" spans="4:4" s="21" customFormat="1" x14ac:dyDescent="0.35">
      <c r="D80" s="32"/>
    </row>
    <row r="81" spans="4:4" s="21" customFormat="1" x14ac:dyDescent="0.35">
      <c r="D81" s="32"/>
    </row>
  </sheetData>
  <mergeCells count="8">
    <mergeCell ref="B5:AQ5"/>
    <mergeCell ref="W14:AA14"/>
    <mergeCell ref="H14:L14"/>
    <mergeCell ref="M14:Q14"/>
    <mergeCell ref="AB14:AF14"/>
    <mergeCell ref="AG14:AK14"/>
    <mergeCell ref="AL14:AP14"/>
    <mergeCell ref="R14:V14"/>
  </mergeCells>
  <conditionalFormatting sqref="F16:F46">
    <cfRule type="expression" dxfId="3" priority="1">
      <formula>$F16="Selesai"</formula>
    </cfRule>
    <cfRule type="expression" dxfId="2" priority="2">
      <formula>$F16="Berjalan"</formula>
    </cfRule>
    <cfRule type="expression" dxfId="1" priority="3">
      <formula>$F16="Terlambat"</formula>
    </cfRule>
    <cfRule type="expression" dxfId="0" priority="4">
      <formula>$F16="Belum Mulai"</formula>
    </cfRule>
  </conditionalFormatting>
  <conditionalFormatting sqref="G16:G46">
    <cfRule type="dataBar" priority="5">
      <dataBar>
        <cfvo type="num" val="0"/>
        <cfvo type="num" val="1"/>
        <color rgb="FF4F81BD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>
      <selection activeCell="H6" sqref="H6"/>
    </sheetView>
  </sheetViews>
  <sheetFormatPr defaultRowHeight="14.5" x14ac:dyDescent="0.35"/>
  <cols>
    <col min="1" max="1" width="16" customWidth="1"/>
    <col min="2" max="2" width="22" customWidth="1"/>
    <col min="3" max="3" width="34" customWidth="1"/>
    <col min="4" max="4" width="20" customWidth="1"/>
    <col min="5" max="5" width="24" customWidth="1"/>
    <col min="6" max="6" width="16" customWidth="1"/>
  </cols>
  <sheetData>
    <row r="1" spans="1:6" x14ac:dyDescent="0.35">
      <c r="A1" s="211" t="s">
        <v>324</v>
      </c>
      <c r="B1" s="200"/>
      <c r="C1" s="200"/>
      <c r="D1" s="200"/>
      <c r="E1" s="200"/>
      <c r="F1" s="200"/>
    </row>
    <row r="2" spans="1:6" s="10" customFormat="1" x14ac:dyDescent="0.35">
      <c r="A2" s="1" t="s">
        <v>325</v>
      </c>
      <c r="B2" s="1" t="s">
        <v>326</v>
      </c>
      <c r="C2" s="1" t="s">
        <v>327</v>
      </c>
      <c r="D2" s="1" t="s">
        <v>328</v>
      </c>
      <c r="E2" s="1" t="s">
        <v>329</v>
      </c>
      <c r="F2" s="1" t="s">
        <v>22</v>
      </c>
    </row>
    <row r="3" spans="1:6" ht="29" x14ac:dyDescent="0.35">
      <c r="A3" s="2" t="s">
        <v>10</v>
      </c>
      <c r="B3" s="2" t="s">
        <v>330</v>
      </c>
      <c r="C3" s="2" t="s">
        <v>331</v>
      </c>
      <c r="D3" s="2" t="s">
        <v>17</v>
      </c>
      <c r="E3" s="2" t="s">
        <v>332</v>
      </c>
      <c r="F3" s="2" t="s">
        <v>301</v>
      </c>
    </row>
    <row r="4" spans="1:6" x14ac:dyDescent="0.35">
      <c r="A4" s="2" t="s">
        <v>35</v>
      </c>
      <c r="B4" s="2" t="s">
        <v>333</v>
      </c>
      <c r="C4" s="2" t="s">
        <v>334</v>
      </c>
      <c r="D4" s="2" t="s">
        <v>335</v>
      </c>
      <c r="E4" s="2" t="s">
        <v>336</v>
      </c>
      <c r="F4" s="2" t="s">
        <v>337</v>
      </c>
    </row>
    <row r="5" spans="1:6" ht="29" x14ac:dyDescent="0.35">
      <c r="A5" s="2" t="s">
        <v>36</v>
      </c>
      <c r="B5" s="2" t="s">
        <v>338</v>
      </c>
      <c r="C5" s="2" t="s">
        <v>339</v>
      </c>
      <c r="D5" s="2" t="s">
        <v>340</v>
      </c>
      <c r="E5" s="2" t="s">
        <v>341</v>
      </c>
      <c r="F5" s="2" t="s">
        <v>337</v>
      </c>
    </row>
    <row r="6" spans="1:6" ht="29" x14ac:dyDescent="0.35">
      <c r="A6" s="2" t="s">
        <v>37</v>
      </c>
      <c r="B6" s="2" t="s">
        <v>342</v>
      </c>
      <c r="C6" s="2" t="s">
        <v>343</v>
      </c>
      <c r="D6" s="2" t="s">
        <v>344</v>
      </c>
      <c r="E6" s="2" t="s">
        <v>345</v>
      </c>
      <c r="F6" s="2" t="s">
        <v>337</v>
      </c>
    </row>
    <row r="7" spans="1:6" x14ac:dyDescent="0.35">
      <c r="A7" s="2" t="s">
        <v>38</v>
      </c>
      <c r="B7" s="2" t="s">
        <v>346</v>
      </c>
      <c r="C7" s="2" t="s">
        <v>347</v>
      </c>
      <c r="D7" s="2" t="s">
        <v>348</v>
      </c>
      <c r="E7" s="2" t="s">
        <v>349</v>
      </c>
      <c r="F7" s="2" t="s">
        <v>303</v>
      </c>
    </row>
    <row r="9" spans="1:6" x14ac:dyDescent="0.35">
      <c r="A9" s="212" t="s">
        <v>350</v>
      </c>
      <c r="B9" s="213"/>
      <c r="C9" s="213"/>
      <c r="D9" s="213"/>
      <c r="E9" s="213"/>
      <c r="F9" s="213"/>
    </row>
    <row r="10" spans="1:6" ht="29" x14ac:dyDescent="0.35">
      <c r="A10" s="3" t="s">
        <v>351</v>
      </c>
      <c r="B10" s="3" t="s">
        <v>352</v>
      </c>
      <c r="C10" s="3" t="s">
        <v>353</v>
      </c>
      <c r="D10" s="3" t="s">
        <v>354</v>
      </c>
      <c r="E10" s="3" t="s">
        <v>355</v>
      </c>
      <c r="F10" s="3" t="s">
        <v>356</v>
      </c>
    </row>
    <row r="11" spans="1:6" ht="29" x14ac:dyDescent="0.35">
      <c r="A11" s="3" t="s">
        <v>357</v>
      </c>
      <c r="B11" s="3" t="s">
        <v>358</v>
      </c>
      <c r="C11" s="3" t="s">
        <v>359</v>
      </c>
      <c r="D11" s="3" t="s">
        <v>360</v>
      </c>
      <c r="E11" s="3" t="s">
        <v>361</v>
      </c>
      <c r="F11" s="3" t="s">
        <v>299</v>
      </c>
    </row>
    <row r="12" spans="1:6" ht="29" x14ac:dyDescent="0.35">
      <c r="A12" s="3" t="s">
        <v>362</v>
      </c>
      <c r="B12" s="3" t="s">
        <v>363</v>
      </c>
      <c r="C12" s="3" t="s">
        <v>364</v>
      </c>
      <c r="D12" s="3" t="s">
        <v>365</v>
      </c>
      <c r="E12" s="3" t="s">
        <v>366</v>
      </c>
      <c r="F12" s="3" t="s">
        <v>301</v>
      </c>
    </row>
  </sheetData>
  <mergeCells count="2">
    <mergeCell ref="A1:F1"/>
    <mergeCell ref="A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ySplit="3" topLeftCell="A4" activePane="bottomLeft" state="frozen"/>
      <selection pane="bottomLeft" activeCell="H14" sqref="H14"/>
    </sheetView>
  </sheetViews>
  <sheetFormatPr defaultRowHeight="14.5" x14ac:dyDescent="0.35"/>
  <cols>
    <col min="1" max="1" width="6" style="6" customWidth="1"/>
    <col min="2" max="2" width="18" customWidth="1"/>
    <col min="3" max="3" width="24" customWidth="1"/>
    <col min="4" max="4" width="34" customWidth="1"/>
    <col min="5" max="5" width="26.08984375" customWidth="1"/>
  </cols>
  <sheetData>
    <row r="1" spans="1:5" ht="18.5" x14ac:dyDescent="0.35">
      <c r="A1" s="214" t="s">
        <v>367</v>
      </c>
      <c r="B1" s="213"/>
      <c r="C1" s="213"/>
      <c r="D1" s="213"/>
      <c r="E1" s="213"/>
    </row>
    <row r="2" spans="1:5" ht="22.5" customHeight="1" x14ac:dyDescent="0.35">
      <c r="A2" s="213" t="s">
        <v>368</v>
      </c>
      <c r="B2" s="213"/>
      <c r="C2" s="213"/>
      <c r="D2" s="213"/>
      <c r="E2" s="213"/>
    </row>
    <row r="3" spans="1:5" ht="22.5" customHeight="1" x14ac:dyDescent="0.35">
      <c r="A3" s="4" t="s">
        <v>26</v>
      </c>
      <c r="B3" s="4" t="s">
        <v>369</v>
      </c>
      <c r="C3" s="4" t="s">
        <v>370</v>
      </c>
      <c r="D3" s="4" t="s">
        <v>371</v>
      </c>
      <c r="E3" s="4" t="s">
        <v>329</v>
      </c>
    </row>
    <row r="4" spans="1:5" x14ac:dyDescent="0.35">
      <c r="A4" s="9">
        <v>1</v>
      </c>
      <c r="B4" s="3"/>
      <c r="C4" s="3" t="s">
        <v>372</v>
      </c>
      <c r="D4" s="3" t="s">
        <v>373</v>
      </c>
      <c r="E4" s="3" t="s">
        <v>374</v>
      </c>
    </row>
    <row r="5" spans="1:5" x14ac:dyDescent="0.35">
      <c r="A5" s="9">
        <v>2</v>
      </c>
      <c r="B5" s="3"/>
      <c r="C5" s="3" t="s">
        <v>375</v>
      </c>
      <c r="D5" s="3" t="s">
        <v>376</v>
      </c>
      <c r="E5" s="3" t="s">
        <v>374</v>
      </c>
    </row>
    <row r="6" spans="1:5" x14ac:dyDescent="0.35">
      <c r="A6" s="9">
        <v>3</v>
      </c>
      <c r="B6" s="3"/>
      <c r="C6" s="3" t="s">
        <v>377</v>
      </c>
      <c r="D6" s="3" t="s">
        <v>378</v>
      </c>
      <c r="E6" s="3" t="s">
        <v>374</v>
      </c>
    </row>
    <row r="7" spans="1:5" x14ac:dyDescent="0.35">
      <c r="A7" s="9">
        <v>4</v>
      </c>
      <c r="B7" s="3"/>
      <c r="C7" s="3" t="s">
        <v>379</v>
      </c>
      <c r="D7" s="3" t="s">
        <v>380</v>
      </c>
      <c r="E7" s="3" t="s">
        <v>374</v>
      </c>
    </row>
    <row r="8" spans="1:5" x14ac:dyDescent="0.35">
      <c r="A8" s="9">
        <v>5</v>
      </c>
      <c r="B8" s="3"/>
      <c r="C8" s="3" t="s">
        <v>303</v>
      </c>
      <c r="D8" s="3" t="s">
        <v>381</v>
      </c>
      <c r="E8" s="3" t="s">
        <v>374</v>
      </c>
    </row>
    <row r="9" spans="1:5" x14ac:dyDescent="0.35">
      <c r="A9" s="9">
        <v>6</v>
      </c>
      <c r="B9" s="3"/>
      <c r="C9" s="3" t="s">
        <v>382</v>
      </c>
      <c r="D9" s="3" t="s">
        <v>383</v>
      </c>
      <c r="E9" s="3" t="s">
        <v>374</v>
      </c>
    </row>
    <row r="10" spans="1:5" x14ac:dyDescent="0.35">
      <c r="A10" s="9">
        <v>7</v>
      </c>
      <c r="B10" s="3"/>
      <c r="C10" s="3" t="s">
        <v>384</v>
      </c>
      <c r="D10" s="3" t="s">
        <v>385</v>
      </c>
      <c r="E10" s="3" t="s">
        <v>374</v>
      </c>
    </row>
    <row r="11" spans="1:5" x14ac:dyDescent="0.35">
      <c r="A11" s="9">
        <v>8</v>
      </c>
      <c r="B11" s="3"/>
      <c r="C11" s="3" t="s">
        <v>386</v>
      </c>
      <c r="D11" s="3" t="s">
        <v>387</v>
      </c>
      <c r="E11" s="3" t="s">
        <v>374</v>
      </c>
    </row>
    <row r="12" spans="1:5" x14ac:dyDescent="0.35">
      <c r="A12" s="9">
        <v>9</v>
      </c>
      <c r="B12" s="3"/>
      <c r="C12" s="3" t="s">
        <v>388</v>
      </c>
      <c r="D12" s="3" t="s">
        <v>389</v>
      </c>
      <c r="E12" s="3" t="s">
        <v>374</v>
      </c>
    </row>
    <row r="13" spans="1:5" x14ac:dyDescent="0.35">
      <c r="A13" s="9">
        <v>10</v>
      </c>
      <c r="B13" s="3"/>
      <c r="C13" s="3" t="s">
        <v>390</v>
      </c>
      <c r="D13" s="3" t="s">
        <v>391</v>
      </c>
      <c r="E13" s="3" t="s">
        <v>374</v>
      </c>
    </row>
    <row r="14" spans="1:5" x14ac:dyDescent="0.35">
      <c r="A14" s="9">
        <v>11</v>
      </c>
      <c r="B14" s="3"/>
      <c r="C14" s="3" t="s">
        <v>392</v>
      </c>
      <c r="D14" s="3" t="s">
        <v>393</v>
      </c>
      <c r="E14" s="3" t="s">
        <v>374</v>
      </c>
    </row>
    <row r="15" spans="1:5" x14ac:dyDescent="0.35">
      <c r="A15" s="9">
        <v>12</v>
      </c>
      <c r="B15" s="3"/>
      <c r="C15" s="3" t="s">
        <v>394</v>
      </c>
      <c r="D15" s="3" t="s">
        <v>395</v>
      </c>
      <c r="E15" s="3" t="s">
        <v>374</v>
      </c>
    </row>
    <row r="16" spans="1:5" x14ac:dyDescent="0.35">
      <c r="A16" s="9">
        <v>13</v>
      </c>
      <c r="B16" s="3"/>
      <c r="C16" s="3" t="s">
        <v>396</v>
      </c>
      <c r="D16" s="3" t="s">
        <v>397</v>
      </c>
      <c r="E16" s="3" t="s">
        <v>374</v>
      </c>
    </row>
    <row r="17" spans="1:5" x14ac:dyDescent="0.35">
      <c r="A17" s="9">
        <v>14</v>
      </c>
      <c r="B17" s="3"/>
      <c r="C17" s="3" t="s">
        <v>398</v>
      </c>
      <c r="D17" s="3" t="s">
        <v>399</v>
      </c>
      <c r="E17" s="3" t="s">
        <v>374</v>
      </c>
    </row>
    <row r="18" spans="1:5" x14ac:dyDescent="0.35">
      <c r="A18" s="9">
        <v>15</v>
      </c>
      <c r="B18" s="3"/>
      <c r="C18" s="3" t="s">
        <v>400</v>
      </c>
      <c r="D18" s="3" t="s">
        <v>401</v>
      </c>
      <c r="E18" s="3" t="s">
        <v>374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MASTER PLAN</vt:lpstr>
      <vt:lpstr>TIMELINE WEEK</vt:lpstr>
      <vt:lpstr>JURNAL KOORD</vt:lpstr>
      <vt:lpstr>JURNAL KOMP</vt:lpstr>
      <vt:lpstr>CHECKLIST DOK</vt:lpstr>
      <vt:lpstr>Chart</vt:lpstr>
      <vt:lpstr>Panduan</vt:lpstr>
      <vt:lpstr>PIC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Anggi Rivana</cp:lastModifiedBy>
  <dcterms:created xsi:type="dcterms:W3CDTF">2026-04-07T02:21:40Z</dcterms:created>
  <dcterms:modified xsi:type="dcterms:W3CDTF">2026-06-25T06:33:23Z</dcterms:modified>
</cp:coreProperties>
</file>